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ttransport-my.sharepoint.com/personal/fpalomo_cat_ca/Documents/Documentos/"/>
    </mc:Choice>
  </mc:AlternateContent>
  <xr:revisionPtr revIDLastSave="97158" documentId="8_{1D369385-252A-4B0D-BDDC-004644F0930E}" xr6:coauthVersionLast="47" xr6:coauthVersionMax="47" xr10:uidLastSave="{4E3BD6F7-1538-457A-9638-2D38D9B6A14F}"/>
  <bookViews>
    <workbookView xWindow="-120" yWindow="-120" windowWidth="29040" windowHeight="15720" xr2:uid="{989AEB70-7F8D-48B6-B400-AF2D1D54079A}"/>
  </bookViews>
  <sheets>
    <sheet name="Formato" sheetId="7" r:id="rId1"/>
    <sheet name="Referencias " sheetId="15" r:id="rId2"/>
    <sheet name="Mapa de calor " sheetId="13" r:id="rId3"/>
    <sheet name="EvaluacionMC" sheetId="14" r:id="rId4"/>
    <sheet name="Hoja2" sheetId="8" r:id="rId5"/>
    <sheet name="Datos " sheetId="9" r:id="rId6"/>
  </sheets>
  <externalReferences>
    <externalReference r:id="rId7"/>
  </externalReferences>
  <definedNames>
    <definedName name="_xleta.OR" hidden="1" xlm="1">#NAME?</definedName>
    <definedName name="_xlnm.Print_Area" localSheetId="3">EvaluacionMC!$B$1:$J$51</definedName>
    <definedName name="_xlnm.Print_Area" localSheetId="2">'Mapa de calor '!$B$1:$J$35</definedName>
    <definedName name="Type" localSheetId="3">'[1]Maintenance Work Order'!#REF!</definedName>
    <definedName name="Type" localSheetId="2">'[1]Maintenance Work Order'!#REF!</definedName>
    <definedName name="Type" localSheetId="1">'[1]Maintenance Work Order'!#REF!</definedName>
    <definedName name="Type">'[1]Maintenance Work Order'!#REF!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13" l="1"/>
  <c r="F22" i="13"/>
  <c r="E22" i="13"/>
  <c r="L9" i="15"/>
  <c r="K9" i="15"/>
  <c r="J9" i="15"/>
  <c r="I9" i="15"/>
  <c r="H9" i="15"/>
  <c r="L8" i="15"/>
  <c r="K8" i="15"/>
  <c r="J8" i="15"/>
  <c r="I8" i="15"/>
  <c r="H8" i="15"/>
  <c r="H3" i="15"/>
  <c r="D22" i="13"/>
  <c r="C22" i="13"/>
  <c r="L7" i="15"/>
  <c r="K7" i="15"/>
  <c r="J7" i="15"/>
  <c r="I7" i="15"/>
  <c r="H7" i="15"/>
  <c r="L6" i="15"/>
  <c r="K6" i="15"/>
  <c r="J6" i="15"/>
  <c r="I6" i="15"/>
  <c r="H6" i="15"/>
  <c r="L5" i="15"/>
  <c r="K5" i="15"/>
  <c r="J5" i="15"/>
  <c r="I5" i="15"/>
  <c r="H5" i="15"/>
  <c r="L4" i="15"/>
  <c r="K4" i="15"/>
  <c r="J4" i="15"/>
  <c r="I4" i="15"/>
  <c r="H4" i="15"/>
  <c r="L3" i="15"/>
  <c r="K3" i="15"/>
  <c r="J3" i="15"/>
  <c r="I3" i="15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15" i="14" s="1"/>
  <c r="G44" i="14"/>
  <c r="G45" i="14"/>
  <c r="G46" i="14"/>
  <c r="G47" i="14"/>
  <c r="G48" i="14"/>
  <c r="G49" i="14"/>
  <c r="G50" i="14"/>
  <c r="G51" i="14"/>
  <c r="G35" i="13"/>
  <c r="G34" i="13"/>
  <c r="G33" i="13"/>
  <c r="G32" i="13"/>
  <c r="G31" i="13"/>
  <c r="G30" i="13"/>
  <c r="G29" i="13"/>
  <c r="G28" i="13"/>
  <c r="G27" i="13"/>
  <c r="G26" i="13"/>
  <c r="G25" i="13"/>
  <c r="G23" i="13"/>
  <c r="G22" i="13" l="1"/>
  <c r="G12" i="13" s="1"/>
  <c r="G14" i="14"/>
  <c r="G13" i="14"/>
  <c r="G12" i="14"/>
  <c r="G11" i="14"/>
  <c r="G14" i="13" l="1"/>
  <c r="G13" i="13"/>
  <c r="G15" i="13"/>
  <c r="I15" i="14"/>
  <c r="I8" i="14" s="1"/>
  <c r="G6" i="14" l="1"/>
  <c r="H7" i="14"/>
  <c r="F5" i="14"/>
  <c r="I15" i="13"/>
  <c r="E4" i="13" s="1"/>
  <c r="E4" i="14"/>
  <c r="G6" i="13" l="1"/>
  <c r="F5" i="13"/>
  <c r="H7" i="13"/>
  <c r="I8" i="13"/>
</calcChain>
</file>

<file path=xl/sharedStrings.xml><?xml version="1.0" encoding="utf-8"?>
<sst xmlns="http://schemas.openxmlformats.org/spreadsheetml/2006/main" count="570" uniqueCount="435">
  <si>
    <t>EVALUACION DE RIESGOS                     Versión 1</t>
  </si>
  <si>
    <t>Criticidad:</t>
  </si>
  <si>
    <t>Escenario de Riesgo:</t>
  </si>
  <si>
    <t>Analisis No.</t>
  </si>
  <si>
    <t>Fecha:</t>
  </si>
  <si>
    <t>AMENAZA</t>
  </si>
  <si>
    <t>FACTOR DE EXPOSICION</t>
  </si>
  <si>
    <t>FACTOR DE PROBABILIDAD</t>
  </si>
  <si>
    <t>H</t>
  </si>
  <si>
    <t>Hasta 0.7</t>
  </si>
  <si>
    <t>Factor</t>
  </si>
  <si>
    <t>Nivel</t>
  </si>
  <si>
    <t>Definición de Nombre</t>
  </si>
  <si>
    <t>Valor</t>
  </si>
  <si>
    <t>Definición de Criterios</t>
  </si>
  <si>
    <t>E</t>
  </si>
  <si>
    <t>0.7 al 3.0</t>
  </si>
  <si>
    <t>Muy Alta</t>
  </si>
  <si>
    <t>A</t>
  </si>
  <si>
    <t>Ambiental</t>
  </si>
  <si>
    <t>3.1 al 7.0</t>
  </si>
  <si>
    <t>Leve</t>
  </si>
  <si>
    <t>Alta</t>
  </si>
  <si>
    <t>O</t>
  </si>
  <si>
    <t>Operacional</t>
  </si>
  <si>
    <t>Más 7</t>
  </si>
  <si>
    <t>Media</t>
  </si>
  <si>
    <t>Moderado</t>
  </si>
  <si>
    <t>C</t>
  </si>
  <si>
    <t>Comercial</t>
  </si>
  <si>
    <t>Grave</t>
  </si>
  <si>
    <t>Baja</t>
  </si>
  <si>
    <t>R</t>
  </si>
  <si>
    <t>Reputacional</t>
  </si>
  <si>
    <t>Crítico</t>
  </si>
  <si>
    <t>Muy Baja</t>
  </si>
  <si>
    <t>S</t>
  </si>
  <si>
    <t>Social</t>
  </si>
  <si>
    <t>Núm.</t>
  </si>
  <si>
    <t>Evento Amenazante</t>
  </si>
  <si>
    <t>Posición Escenario</t>
  </si>
  <si>
    <t>Aceptabilidad Impacto</t>
  </si>
  <si>
    <t>Indice Críticidad</t>
  </si>
  <si>
    <t>Tipo Impacto</t>
  </si>
  <si>
    <t>Factor Exposición</t>
  </si>
  <si>
    <t>Factor Probabilidad</t>
  </si>
  <si>
    <t>Ocurre con frecuencia</t>
  </si>
  <si>
    <t xml:space="preserve">Casi seguro </t>
  </si>
  <si>
    <t xml:space="preserve">Rango </t>
  </si>
  <si>
    <t>&gt; 0.70</t>
  </si>
  <si>
    <t>Clasificacion</t>
  </si>
  <si>
    <t>Afectación parcial y temporal</t>
  </si>
  <si>
    <t>Afectación significativa</t>
  </si>
  <si>
    <t>Muy alta</t>
  </si>
  <si>
    <t xml:space="preserve">Descripcion </t>
  </si>
  <si>
    <t>I</t>
  </si>
  <si>
    <t>Infraestructura</t>
  </si>
  <si>
    <t>Descripción del Riesgo</t>
  </si>
  <si>
    <t xml:space="preserve">IMPACTO /SEVERIDAD </t>
  </si>
  <si>
    <t>Nombre Empresa/ Proceso:</t>
  </si>
  <si>
    <t xml:space="preserve">Objetivo de la evaluacion: </t>
  </si>
  <si>
    <t xml:space="preserve"> Reducir riesgos operacionales en un 20% para 2025</t>
  </si>
  <si>
    <t>Criterios de Aceptacion:</t>
  </si>
  <si>
    <t>Riesgos &gt;7.0 requieren aprobación de gerencia</t>
  </si>
  <si>
    <t xml:space="preserve">Areas involucradas: </t>
  </si>
  <si>
    <t>Loss Prevention- Operaciones- Legal</t>
  </si>
  <si>
    <t>Clas. Catalogo:</t>
  </si>
  <si>
    <t xml:space="preserve">Fecha de Inicio: </t>
  </si>
  <si>
    <t xml:space="preserve">Responsable: </t>
  </si>
  <si>
    <t xml:space="preserve">Impacto acumulado </t>
  </si>
  <si>
    <t xml:space="preserve">IMPACTO </t>
  </si>
  <si>
    <t xml:space="preserve">ANALISIS </t>
  </si>
  <si>
    <t>96-100%</t>
  </si>
  <si>
    <t>Efectividad</t>
  </si>
  <si>
    <t xml:space="preserve">Nivel de amenaza </t>
  </si>
  <si>
    <t>1 - 20%</t>
  </si>
  <si>
    <t>21-40%</t>
  </si>
  <si>
    <t>41-60%</t>
  </si>
  <si>
    <t>61-81%</t>
  </si>
  <si>
    <t>81-95%</t>
  </si>
  <si>
    <t>Total</t>
  </si>
  <si>
    <t>Descripcion</t>
  </si>
  <si>
    <t>No reduce el riesgo</t>
  </si>
  <si>
    <t>Reduce solo en condiciones ideales</t>
  </si>
  <si>
    <t>Mitiga riesgos menores.</t>
  </si>
  <si>
    <t>Control estándar con limitaciones.</t>
  </si>
  <si>
    <t>Reduce significativamente el riesgo</t>
  </si>
  <si>
    <t>Control robusto y bien implementado.</t>
  </si>
  <si>
    <t>Elimna casi todo el riesgo</t>
  </si>
  <si>
    <t xml:space="preserve">Antonio Rodriguez </t>
  </si>
  <si>
    <t xml:space="preserve">Fecha de revision : </t>
  </si>
  <si>
    <t>ISO 28000:2007 - Sección 7.2</t>
  </si>
  <si>
    <t xml:space="preserve">Informe a gerencia: </t>
  </si>
  <si>
    <t>Canal :</t>
  </si>
  <si>
    <t xml:space="preserve">Programa de concientizacion:  </t>
  </si>
  <si>
    <t xml:space="preserve">Contenido: </t>
  </si>
  <si>
    <t xml:space="preserve">   - Activación de sirena.  </t>
  </si>
  <si>
    <t>Controles Adicionales</t>
  </si>
  <si>
    <t xml:space="preserve">Acciones adicionales  para mitigar el riesgo </t>
  </si>
  <si>
    <t>Area</t>
  </si>
  <si>
    <t xml:space="preserve">Detalle </t>
  </si>
  <si>
    <t xml:space="preserve">Presupuesto </t>
  </si>
  <si>
    <t xml:space="preserve">Personal </t>
  </si>
  <si>
    <t>Recursos:</t>
  </si>
  <si>
    <t>Infraestructura:</t>
  </si>
  <si>
    <t xml:space="preserve">Portones </t>
  </si>
  <si>
    <t xml:space="preserve">Camaras </t>
  </si>
  <si>
    <t xml:space="preserve">Ancho de Banda </t>
  </si>
  <si>
    <t>Capacitacion</t>
  </si>
  <si>
    <t xml:space="preserve">Limitaciones: </t>
  </si>
  <si>
    <t xml:space="preserve"> 4 oficiales de Loss Prevention</t>
  </si>
  <si>
    <t xml:space="preserve">$100,000 MXN/mensuales (seguridad física) </t>
  </si>
  <si>
    <t>4 manuales (actuales) → a automatizar</t>
  </si>
  <si>
    <t xml:space="preserve">8 unidades (cobertura al 70%) </t>
  </si>
  <si>
    <t xml:space="preserve">Ancho de banda -Suficiente para transmisión de CCTV </t>
  </si>
  <si>
    <t xml:space="preserve"> 40% del personal entrenado (2025)</t>
  </si>
  <si>
    <t xml:space="preserve">Contexto Externo: </t>
  </si>
  <si>
    <t>Contexto Interno:</t>
  </si>
  <si>
    <t xml:space="preserve">Normativas Relevantes: </t>
  </si>
  <si>
    <t xml:space="preserve"> ISO 28000:2007: Requisitos 7.2 (control accesos). - Ley General de Seguridad Privada: Art. 12 (uso de CCTV).</t>
  </si>
  <si>
    <t xml:space="preserve">Junta semanal de seguridad con comité de seguridad </t>
  </si>
  <si>
    <t>Cargo</t>
  </si>
  <si>
    <t xml:space="preserve">Security Manager </t>
  </si>
  <si>
    <t xml:space="preserve"> Riesgos inaceptables e inadmisibles hallados/ Riesgos &gt;7.0</t>
  </si>
  <si>
    <t xml:space="preserve"> Prevención de accesos no autorizados</t>
  </si>
  <si>
    <t>Uso de portones automáticos, protocolos de reporte de incidentes</t>
  </si>
  <si>
    <t xml:space="preserve">Frecuencia: </t>
  </si>
  <si>
    <t xml:space="preserve">Mensual- dia 30 del mes  </t>
  </si>
  <si>
    <t xml:space="preserve">Procedimientos y Politicas Adicionales  </t>
  </si>
  <si>
    <t>Security</t>
  </si>
  <si>
    <t>Procedimiento para "Tailgating</t>
  </si>
  <si>
    <t xml:space="preserve">1. **Detección**: Alerta por CCTV o sensor de movimiento. </t>
  </si>
  <si>
    <t xml:space="preserve">2. Contención:  </t>
  </si>
  <si>
    <t xml:space="preserve"> Bloqueo automático de portones (código #911)</t>
  </si>
  <si>
    <t xml:space="preserve">3. Comunicación:  </t>
  </si>
  <si>
    <t xml:space="preserve">Notificar a policía (línea 911) y gerente de seguridad.  </t>
  </si>
  <si>
    <t xml:space="preserve">4. Registro:  </t>
  </si>
  <si>
    <t>Guardar video del incidente (etiquetar fecha/hora)</t>
  </si>
  <si>
    <t xml:space="preserve">Area: </t>
  </si>
  <si>
    <t xml:space="preserve">Loss Prevention/ Security </t>
  </si>
  <si>
    <t>KPI</t>
  </si>
  <si>
    <t xml:space="preserve"> 1. Reducción sustancial de incidentes  </t>
  </si>
  <si>
    <t xml:space="preserve">Meta </t>
  </si>
  <si>
    <t xml:space="preserve">70% menos en un mes </t>
  </si>
  <si>
    <t xml:space="preserve">Frencuencia </t>
  </si>
  <si>
    <t xml:space="preserve">Mensual </t>
  </si>
  <si>
    <t xml:space="preserve">Responsable </t>
  </si>
  <si>
    <t>Metodo de Medicion</t>
  </si>
  <si>
    <t xml:space="preserve">Auditorias Internas </t>
  </si>
  <si>
    <t>2. Tiempo respuesta alarmas</t>
  </si>
  <si>
    <t>&lt; 5 minutos</t>
  </si>
  <si>
    <t xml:space="preserve">Semanal </t>
  </si>
  <si>
    <t>Frank Palomo</t>
  </si>
  <si>
    <t xml:space="preserve">Simulacros de Tiempo </t>
  </si>
  <si>
    <t>3. Cumplimiento capacitación</t>
  </si>
  <si>
    <t>100% empleados</t>
  </si>
  <si>
    <t>4 Eficacia CCTV</t>
  </si>
  <si>
    <t>95% cobertura áreas</t>
  </si>
  <si>
    <t>Semestral</t>
  </si>
  <si>
    <t>Analisis de Sembrado</t>
  </si>
  <si>
    <t>Recursos adicionales para Implementacion</t>
  </si>
  <si>
    <t xml:space="preserve">Indicador de éxito </t>
  </si>
  <si>
    <t xml:space="preserve">5. Base de datos con foto y ID transportistas </t>
  </si>
  <si>
    <t xml:space="preserve">100% de Transportistas </t>
  </si>
  <si>
    <t>Revision Base de datos</t>
  </si>
  <si>
    <t>Identificacion efectiva al salir</t>
  </si>
  <si>
    <t xml:space="preserve">Reduccion de Puntos ciegos </t>
  </si>
  <si>
    <t>Reduccion de Incidencias</t>
  </si>
  <si>
    <t xml:space="preserve">Mejor Cultura de Seguridad </t>
  </si>
  <si>
    <t xml:space="preserve">Skateholders </t>
  </si>
  <si>
    <t xml:space="preserve">CONSULTA A PARTES INTERESADAS (StakeHolders) </t>
  </si>
  <si>
    <t xml:space="preserve">Metodo de Consulta </t>
  </si>
  <si>
    <t xml:space="preserve">Hallazgo </t>
  </si>
  <si>
    <t>Empleados Internos</t>
  </si>
  <si>
    <t>Talleres de seguridad</t>
  </si>
  <si>
    <t>Falta de capacitación en protocolos de "tailgating".</t>
  </si>
  <si>
    <t xml:space="preserve">Policía Local </t>
  </si>
  <si>
    <t>Reunión formal (May 2025)</t>
  </si>
  <si>
    <t>Aumento del 20% en robos a camiones en la zona</t>
  </si>
  <si>
    <t>Transportistas</t>
  </si>
  <si>
    <t>Encuestas anónimas (Jul 2025)</t>
  </si>
  <si>
    <t>30% reportaron demoras en rutas por falta de vigilancia</t>
  </si>
  <si>
    <t>Proveedores</t>
  </si>
  <si>
    <t xml:space="preserve">Evaluacion de Contratos </t>
  </si>
  <si>
    <t xml:space="preserve">15% no cumplen con estándares de seguridad física </t>
  </si>
  <si>
    <t>Implementar rastreo satelital en tiempo real.</t>
  </si>
  <si>
    <t>Coordinar patrullajes conjuntos</t>
  </si>
  <si>
    <t>Programa mensual de concientización</t>
  </si>
  <si>
    <t>Auditorías anuales a proveedores críticos.</t>
  </si>
  <si>
    <t>REVISIÓN Y ACTUALIZACIÓN DEL MARCO DE GESTIÓN</t>
  </si>
  <si>
    <t>Qué se Revisa</t>
  </si>
  <si>
    <t>Frecuencia</t>
  </si>
  <si>
    <t xml:space="preserve">Criterios de Éxito </t>
  </si>
  <si>
    <t>Efectividad de controles</t>
  </si>
  <si>
    <t>Antonio Rodriguez</t>
  </si>
  <si>
    <t>Anual</t>
  </si>
  <si>
    <t>Actualizacion de Amenazas</t>
  </si>
  <si>
    <t xml:space="preserve">Comité Seguridad </t>
  </si>
  <si>
    <t>Identificación de ≥2 nuevas amenazas/anual</t>
  </si>
  <si>
    <t>Reducción del 70% en incidentes o mas</t>
  </si>
  <si>
    <t>Cumplimiento normativo</t>
  </si>
  <si>
    <t>Legal/Loss Prevention</t>
  </si>
  <si>
    <t xml:space="preserve">Semestral </t>
  </si>
  <si>
    <t>KPIS</t>
  </si>
  <si>
    <t>0 no conformidades en ISO 28000/CTPAT.</t>
  </si>
  <si>
    <t>Feedback de stakeholders</t>
  </si>
  <si>
    <t xml:space="preserve">Bianual </t>
  </si>
  <si>
    <t>RRHH/Security</t>
  </si>
  <si>
    <t>100% de stakeholders consultados</t>
  </si>
  <si>
    <t>Encuestas y talleres.</t>
  </si>
  <si>
    <t xml:space="preserve">Herramientas </t>
  </si>
  <si>
    <t>Checklist ISO/ASIS.</t>
  </si>
  <si>
    <t>Reportes /Inteligencia.</t>
  </si>
  <si>
    <t>Auditorias Internas</t>
  </si>
  <si>
    <t>Revision 17 puntos CTPAT</t>
  </si>
  <si>
    <t xml:space="preserve">Frank Palomo </t>
  </si>
  <si>
    <t>Revisiones realizandose en forma</t>
  </si>
  <si>
    <t>Mitigacion</t>
  </si>
  <si>
    <t>Cambios en el contexto</t>
  </si>
  <si>
    <t xml:space="preserve">Marco </t>
  </si>
  <si>
    <t xml:space="preserve">Revision </t>
  </si>
  <si>
    <t>MINUTA DE REVISIÓN DEL MARCO – FECHA</t>
  </si>
  <si>
    <t>Nueva ley de seguridad privada (Art. 15) exige mayor cobertura de CCTV</t>
  </si>
  <si>
    <t>Resultados de controles</t>
  </si>
  <si>
    <t>Portones automáticos redujeron 'tailgating' en 65% vs 70% KPI</t>
  </si>
  <si>
    <t>Nuevas amenazas:</t>
  </si>
  <si>
    <t>Tácticas de sabotaje con drones reportadas en sector logístico</t>
  </si>
  <si>
    <t>Acciones acordadas</t>
  </si>
  <si>
    <t>Actualizar protocolos para incluir detección de drones (plazo: 3 meses)</t>
  </si>
  <si>
    <t>Responsables:</t>
  </si>
  <si>
    <t xml:space="preserve">Security Department- It departament- Real state department </t>
  </si>
  <si>
    <t>Plan de Recuperacion de CTPAT</t>
  </si>
  <si>
    <t xml:space="preserve">Personal General </t>
  </si>
  <si>
    <t xml:space="preserve">Simulacros </t>
  </si>
  <si>
    <t xml:space="preserve">Algunas Fallas en el conocimiento del proceso </t>
  </si>
  <si>
    <t xml:space="preserve">Simulacros programados mensualmente </t>
  </si>
  <si>
    <t xml:space="preserve">Robo de mercancia o Camiones </t>
  </si>
  <si>
    <t>1) Bloquear mercancía vía GPS.</t>
  </si>
  <si>
    <t>2) Notificar a policía y aseguradora en &lt;30 min</t>
  </si>
  <si>
    <t xml:space="preserve">3) Reportar de inmediato a gerente de seguridad </t>
  </si>
  <si>
    <t>4) Investigar brecha con checklist CTPAT</t>
  </si>
  <si>
    <t xml:space="preserve">5) Realizar Reporte detallado de los hechos </t>
  </si>
  <si>
    <t xml:space="preserve">Staff Operativo </t>
  </si>
  <si>
    <t>Auditoria Interna</t>
  </si>
  <si>
    <t>Falta de registro de sellos de seguridad asignados</t>
  </si>
  <si>
    <t>Protocolo</t>
  </si>
  <si>
    <t xml:space="preserve">Hecho </t>
  </si>
  <si>
    <t xml:space="preserve">6) Verificar sellos electrónicos y coordenadas GPS en </t>
  </si>
  <si>
    <t>tiempo real durante incidentes</t>
  </si>
  <si>
    <t>7) Auditoria completa a la carga una vez recuperada</t>
  </si>
  <si>
    <t xml:space="preserve">Estabelcer formato para registro de sellos  </t>
  </si>
  <si>
    <t xml:space="preserve">Simulacros Realizados </t>
  </si>
  <si>
    <t xml:space="preserve">Resultados </t>
  </si>
  <si>
    <t xml:space="preserve">Categoria </t>
  </si>
  <si>
    <t>Fecha de Realizacion</t>
  </si>
  <si>
    <t xml:space="preserve"> Tiempo respuesta alarmas</t>
  </si>
  <si>
    <t>Satisfactorio 4 minutos KPI &lt; 5 minutos</t>
  </si>
  <si>
    <t xml:space="preserve">Prioridad </t>
  </si>
  <si>
    <t xml:space="preserve">Alta </t>
  </si>
  <si>
    <t xml:space="preserve">pluma peatonal </t>
  </si>
  <si>
    <t xml:space="preserve">crucen con chaleco reflextivo </t>
  </si>
  <si>
    <t xml:space="preserve">señal de precaucion </t>
  </si>
  <si>
    <t xml:space="preserve">pintar el piso </t>
  </si>
  <si>
    <t xml:space="preserve">instalar un semaforo </t>
  </si>
  <si>
    <t xml:space="preserve">mejorar iluminacion </t>
  </si>
  <si>
    <t xml:space="preserve">CONTROLES EXISTENTES </t>
  </si>
  <si>
    <t>≤ 2</t>
  </si>
  <si>
    <t>≤4</t>
  </si>
  <si>
    <t>≤15</t>
  </si>
  <si>
    <t>&gt;15</t>
  </si>
  <si>
    <t>ACEPTABLE</t>
  </si>
  <si>
    <t>TOLERABLE</t>
  </si>
  <si>
    <t>INACEPTABLE</t>
  </si>
  <si>
    <t>INADMISIBLE</t>
  </si>
  <si>
    <t>AMENAZA INHERENTE</t>
  </si>
  <si>
    <t>TIPO DE IMPACTO</t>
  </si>
  <si>
    <t>Humano</t>
  </si>
  <si>
    <t>Económico</t>
  </si>
  <si>
    <t>Inefectiva</t>
  </si>
  <si>
    <t>Intermedia</t>
  </si>
  <si>
    <t>Limitada</t>
  </si>
  <si>
    <t xml:space="preserve">Baja </t>
  </si>
  <si>
    <t>Indice de Criticidad</t>
  </si>
  <si>
    <t>Amenaza Deliberada</t>
  </si>
  <si>
    <t>Factor exposision</t>
  </si>
  <si>
    <t xml:space="preserve">Factor Probabilidad </t>
  </si>
  <si>
    <t xml:space="preserve">Amenaza Inherente </t>
  </si>
  <si>
    <t xml:space="preserve">Impacto </t>
  </si>
  <si>
    <t>Accion</t>
  </si>
  <si>
    <t>ACCIÓN</t>
  </si>
  <si>
    <t>Evitar</t>
  </si>
  <si>
    <t>Transferir</t>
  </si>
  <si>
    <t>Mitigar</t>
  </si>
  <si>
    <t>A Inherente</t>
  </si>
  <si>
    <t xml:space="preserve">CANADIAN AUTO TRANSPORT </t>
  </si>
  <si>
    <t>SHAWSON YARD MISSISSAUGA</t>
  </si>
  <si>
    <t xml:space="preserve">ACEPTABILIDAD </t>
  </si>
  <si>
    <t>SEGUIMIENTO</t>
  </si>
  <si>
    <t>Fecha de evaluacion</t>
  </si>
  <si>
    <t>Estatus</t>
  </si>
  <si>
    <t>Aceptabilidad:</t>
  </si>
  <si>
    <t>Nivel de Riesgo (W)=Amenaza Efectiva (Q )× Impacto (U)</t>
  </si>
  <si>
    <t>Amenza Deliberada</t>
  </si>
  <si>
    <t>INCERTIDUMBRE</t>
  </si>
  <si>
    <t>Riesgo Residual</t>
  </si>
  <si>
    <t xml:space="preserve">Valor </t>
  </si>
  <si>
    <t xml:space="preserve">Nivel de Amenaza + incertidumbre </t>
  </si>
  <si>
    <t>Amenaza Residual</t>
  </si>
  <si>
    <t xml:space="preserve">  Intrusion y robo de camiones y trailers </t>
  </si>
  <si>
    <t xml:space="preserve">Ingreso a traves de la cerca colindante con calle Luke en Mississauga </t>
  </si>
  <si>
    <t xml:space="preserve">El usuario debe ingresar información en la siguiente tabla de datos de evaluación de riesgos y completar solo las celdas no sombreadas. 
El mapa de calor de gravedad del riesgo se rellenará automáticamente. </t>
  </si>
  <si>
    <t>PUNTAJES PI  •   1-80</t>
  </si>
  <si>
    <t>RECUENTO</t>
  </si>
  <si>
    <t>1 a 2</t>
  </si>
  <si>
    <t>MÍNIMA</t>
  </si>
  <si>
    <t>3 a 8</t>
  </si>
  <si>
    <t>MENOR</t>
  </si>
  <si>
    <t>10 a 16</t>
  </si>
  <si>
    <t>MODERADA</t>
  </si>
  <si>
    <t>20 a 32</t>
  </si>
  <si>
    <t>ALTA</t>
  </si>
  <si>
    <t>RIESGO TOTAL</t>
  </si>
  <si>
    <t>40 a 80</t>
  </si>
  <si>
    <t>CRÍTICA</t>
  </si>
  <si>
    <t>––––––––––––––––––– NO ALTERAR, se completa automáticamente. –––––––––––––––––––––</t>
  </si>
  <si>
    <t>TABLA DE DATOS DE LA EVALUACIÓN DE RIESGOS</t>
  </si>
  <si>
    <t xml:space="preserve">El usuario solo debe completar las celdas que no están sombreadas. </t>
  </si>
  <si>
    <r>
      <rPr>
        <i/>
        <sz val="10"/>
        <color theme="8" tint="-0.499984740745262"/>
        <rFont val="Century Gothic"/>
        <family val="2"/>
      </rPr>
      <t xml:space="preserve">NO MODIFICAR </t>
    </r>
    <r>
      <rPr>
        <b/>
        <i/>
        <sz val="10"/>
        <color theme="8" tint="-0.499984740745262"/>
        <rFont val="Century Gothic"/>
        <family val="2"/>
      </rPr>
      <t>LAS CELDAS DE PUNTAJES DE GRAVEDAD</t>
    </r>
    <r>
      <rPr>
        <i/>
        <sz val="10"/>
        <color theme="8" tint="-0.499984740745262"/>
        <rFont val="Century Gothic"/>
        <family val="2"/>
      </rPr>
      <t xml:space="preserve"> DEL RIESGO</t>
    </r>
    <r>
      <rPr>
        <sz val="12"/>
        <color theme="1"/>
        <rFont val="Calibri"/>
        <family val="2"/>
        <scheme val="minor"/>
      </rPr>
      <t xml:space="preserve">
</t>
    </r>
    <r>
      <rPr>
        <i/>
        <sz val="10"/>
        <color theme="8" tint="-0.499984740745262"/>
        <rFont val="Century Gothic"/>
        <family val="2"/>
      </rPr>
      <t>Los resultados se completan automáticamente.</t>
    </r>
  </si>
  <si>
    <t>ID 
DE REF.</t>
  </si>
  <si>
    <t>FECHA DE PRESENTACIÓN</t>
  </si>
  <si>
    <t xml:space="preserve">DESCRIPCIÓN DEL RIESGO </t>
  </si>
  <si>
    <t>PROBABILIDAD
1-5</t>
  </si>
  <si>
    <t>IMPACTO
1-16</t>
  </si>
  <si>
    <r>
      <rPr>
        <sz val="10"/>
        <color theme="0"/>
        <rFont val="Century Gothic"/>
        <family val="2"/>
      </rPr>
      <t xml:space="preserve">PUNTAJE DE GRAVEDAD DE RIESGO 
</t>
    </r>
    <r>
      <rPr>
        <sz val="9"/>
        <color theme="0"/>
        <rFont val="Century Gothic"/>
        <family val="2"/>
      </rPr>
      <t>Probabilidad x Impacto</t>
    </r>
  </si>
  <si>
    <t>NOTAS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</si>
  <si>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</si>
  <si>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</si>
  <si>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</si>
  <si>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</si>
  <si>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</si>
  <si>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</si>
  <si>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</si>
  <si>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</si>
  <si>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</si>
  <si>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</si>
  <si>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</si>
  <si>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</si>
  <si>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</si>
  <si>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</si>
  <si>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R30</t>
  </si>
  <si>
    <t>R29</t>
  </si>
  <si>
    <t>R28</t>
  </si>
  <si>
    <t>R27</t>
  </si>
  <si>
    <t>R26</t>
  </si>
  <si>
    <t>R25</t>
  </si>
  <si>
    <t>R24</t>
  </si>
  <si>
    <t>R23</t>
  </si>
  <si>
    <t>R22</t>
  </si>
  <si>
    <t>R21</t>
  </si>
  <si>
    <t>R20</t>
  </si>
  <si>
    <t>R19</t>
  </si>
  <si>
    <t>R18</t>
  </si>
  <si>
    <t>R17</t>
  </si>
  <si>
    <t>R16</t>
  </si>
  <si>
    <t>R15</t>
  </si>
  <si>
    <t>PLANTILLA DE MAPA DE CALOR DE EVALUACIÓN DE RIESGOS PARA EXCEL</t>
  </si>
  <si>
    <t>REGISTRO DE RIESGOS - MATRIZ</t>
  </si>
  <si>
    <t>PROBABILIDAD   •   1-5</t>
  </si>
  <si>
    <t>IMPACTO   •   1-16</t>
  </si>
  <si>
    <t>1 - INSIGNIFICANTE</t>
  </si>
  <si>
    <t>1 a 2 • MÍNIMA</t>
  </si>
  <si>
    <t>3 a 8 • MENOR</t>
  </si>
  <si>
    <t>4 - MODERADO</t>
  </si>
  <si>
    <t>10 a 16 • MODERADO</t>
  </si>
  <si>
    <t>20 a 32 • ALTO</t>
  </si>
  <si>
    <t>REFERENCIA DE PROBABILIDAD</t>
  </si>
  <si>
    <t>REFERENCIA DE IMPACTO</t>
  </si>
  <si>
    <t>EVITAR</t>
  </si>
  <si>
    <t>TRANSFERIR</t>
  </si>
  <si>
    <t>MITIGAR</t>
  </si>
  <si>
    <t>2 - Baja</t>
  </si>
  <si>
    <t xml:space="preserve">1 - Muy baja </t>
  </si>
  <si>
    <t>3 - Moderada</t>
  </si>
  <si>
    <t>4 - Alta</t>
  </si>
  <si>
    <t>5 - Muy Alta</t>
  </si>
  <si>
    <t>2 - LEVE</t>
  </si>
  <si>
    <t>8 - GRAVE</t>
  </si>
  <si>
    <t>16 - Critico</t>
  </si>
  <si>
    <t>33 a 59 • CRÍTICO</t>
  </si>
  <si>
    <t>59 a 95 • CRÍTICO</t>
  </si>
  <si>
    <t>95 a 100 • CRÍTICO</t>
  </si>
  <si>
    <t>32 - Desastrozo</t>
  </si>
  <si>
    <t>64 - Catastrofico</t>
  </si>
  <si>
    <t>EFECTIVIDAD DE CONTROLES</t>
  </si>
  <si>
    <t>T</t>
  </si>
  <si>
    <t>Tecnologico</t>
  </si>
  <si>
    <r>
      <rPr>
        <sz val="8"/>
        <rFont val="Arial"/>
        <family val="2"/>
      </rPr>
      <t>R</t>
    </r>
    <r>
      <rPr>
        <b/>
        <sz val="8"/>
        <rFont val="Arial"/>
        <family val="2"/>
      </rPr>
      <t xml:space="preserve">ango </t>
    </r>
  </si>
  <si>
    <t>Rara</t>
  </si>
  <si>
    <t>&gt; 0.7 hasta 3.0</t>
  </si>
  <si>
    <t>&gt; 3.0 hasta 7.0</t>
  </si>
  <si>
    <t>≤ 0.05</t>
  </si>
  <si>
    <t xml:space="preserve">Poco Probable </t>
  </si>
  <si>
    <t xml:space="preserve">Posible </t>
  </si>
  <si>
    <t xml:space="preserve">Probable </t>
  </si>
  <si>
    <t>0.06 – 0.15</t>
  </si>
  <si>
    <t>0.16 – 0.40</t>
  </si>
  <si>
    <t>0.41 – 0.70</t>
  </si>
  <si>
    <t>Evento muy poco probable</t>
  </si>
  <si>
    <t xml:space="preserve">	Posible en circunstancias poco comunes</t>
  </si>
  <si>
    <t xml:space="preserve">	Puede ocurrir ocasionalmente</t>
  </si>
  <si>
    <t>Ocurre casi siempre o siempre</t>
  </si>
  <si>
    <t xml:space="preserve">Insignificante </t>
  </si>
  <si>
    <t>No afecta significativamente</t>
  </si>
  <si>
    <t>Afectación menor</t>
  </si>
  <si>
    <t xml:space="preserve">Critico </t>
  </si>
  <si>
    <t>Impacto serio o pérdida total</t>
  </si>
  <si>
    <t xml:space="preserve">Muy Baja </t>
  </si>
  <si>
    <t>Moderada</t>
  </si>
  <si>
    <t>Exposición extremadamente rara</t>
  </si>
  <si>
    <t>Exposición ocasional (cada 10 años)</t>
  </si>
  <si>
    <t>Exposición algunas veces al año</t>
  </si>
  <si>
    <t>Exposición mensual</t>
  </si>
  <si>
    <t>Exposición frecuente o semanal</t>
  </si>
  <si>
    <t xml:space="preserve">	Baja</t>
  </si>
  <si>
    <t>Ha sucedido alguna vez</t>
  </si>
  <si>
    <t>Podría ocurrir ocasionalmente</t>
  </si>
  <si>
    <t>Probable en ocasiones</t>
  </si>
  <si>
    <t>Ocurre con frecuencia / inminente</t>
  </si>
  <si>
    <t>En condiciones excepcionales</t>
  </si>
  <si>
    <t>Posible</t>
  </si>
  <si>
    <t>Aceptable</t>
  </si>
  <si>
    <t>Inadmisible</t>
  </si>
  <si>
    <t>Poco Probable</t>
  </si>
  <si>
    <t>Inaceptable</t>
  </si>
  <si>
    <t>Insignificante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</si>
</sst>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mm/dd/yy;@"/>
    <numFmt numFmtId="167" formatCode="#,##0.00_ ;\-#,##0.00\ "/>
  </numFmts>
  <fonts count="4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sz val="8"/>
      <color rgb="FF404040"/>
      <name val="Arial"/>
      <family val="2"/>
    </font>
    <font>
      <b/>
      <sz val="10"/>
      <color rgb="FF49494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u/>
      <sz val="10"/>
      <color theme="10"/>
      <name val="Arial"/>
      <family val="2"/>
    </font>
    <font>
      <sz val="16"/>
      <name val="Verdana"/>
      <family val="2"/>
    </font>
    <font>
      <sz val="12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24"/>
      <color theme="1" tint="0.34998626667073579"/>
      <name val="Century Gothic"/>
      <family val="2"/>
    </font>
    <font>
      <sz val="12"/>
      <color theme="8" tint="-0.499984740745262"/>
      <name val="Century Gothic"/>
      <family val="2"/>
    </font>
    <font>
      <sz val="10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entury Gothic"/>
      <family val="2"/>
    </font>
    <font>
      <sz val="12"/>
      <color theme="1"/>
      <name val="Arial"/>
      <family val="2"/>
    </font>
    <font>
      <sz val="35"/>
      <color theme="1" tint="0.34998626667073579"/>
      <name val="Century Gothic"/>
      <family val="2"/>
    </font>
    <font>
      <b/>
      <sz val="11"/>
      <color theme="1" tint="0.34998626667073579"/>
      <name val="Century Gothic"/>
      <family val="2"/>
    </font>
    <font>
      <b/>
      <sz val="12"/>
      <color theme="1" tint="0.34998626667073579"/>
      <name val="Century Gothic"/>
      <family val="2"/>
    </font>
    <font>
      <b/>
      <sz val="10"/>
      <color theme="1"/>
      <name val="Century Gothic"/>
      <family val="2"/>
    </font>
    <font>
      <sz val="12"/>
      <color theme="1" tint="0.34998626667073579"/>
      <name val="Century Gothic"/>
      <family val="2"/>
    </font>
    <font>
      <sz val="22"/>
      <color theme="1" tint="0.34998626667073579"/>
      <name val="Century Gothic"/>
      <family val="2"/>
    </font>
    <font>
      <i/>
      <sz val="10"/>
      <color theme="8" tint="-0.499984740745262"/>
      <name val="Century Gothic"/>
      <family val="2"/>
    </font>
    <font>
      <b/>
      <i/>
      <sz val="10"/>
      <color theme="8" tint="-0.499984740745262"/>
      <name val="Century Gothic"/>
      <family val="2"/>
    </font>
    <font>
      <sz val="11"/>
      <color theme="0"/>
      <name val="Century Gothic"/>
      <family val="2"/>
    </font>
    <font>
      <sz val="10"/>
      <color theme="0"/>
      <name val="Century Gothic"/>
      <family val="2"/>
    </font>
    <font>
      <sz val="9"/>
      <color theme="0"/>
      <name val="Century Gothic"/>
      <family val="2"/>
    </font>
    <font>
      <b/>
      <sz val="12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1"/>
      <name val="Century Gothic"/>
      <family val="2"/>
    </font>
    <font>
      <u/>
      <sz val="12"/>
      <color theme="10"/>
      <name val="Calibri"/>
      <family val="2"/>
      <scheme val="minor"/>
    </font>
    <font>
      <b/>
      <sz val="10"/>
      <color theme="0"/>
      <name val="Century Gothic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0FF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5AE6D5"/>
        <bgColor indexed="64"/>
      </patternFill>
    </fill>
    <fill>
      <patternFill patternType="solid">
        <fgColor rgb="FFB5ED46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2C8D0"/>
        <bgColor indexed="64"/>
      </patternFill>
    </fill>
    <fill>
      <patternFill patternType="solid">
        <fgColor rgb="FFE4AB0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thin">
        <color theme="0" tint="-0.249977111117893"/>
      </right>
      <top/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3" fillId="0" borderId="0" applyNumberForma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503">
    <xf numFmtId="0" fontId="0" fillId="0" borderId="0" xfId="0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0" borderId="0" xfId="0" applyFont="1"/>
    <xf numFmtId="2" fontId="4" fillId="0" borderId="2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 wrapText="1"/>
    </xf>
    <xf numFmtId="0" fontId="4" fillId="2" borderId="41" xfId="0" applyFont="1" applyFill="1" applyBorder="1" applyAlignment="1">
      <alignment horizontal="center" vertical="center" wrapText="1"/>
    </xf>
    <xf numFmtId="0" fontId="4" fillId="2" borderId="40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1" fillId="0" borderId="57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  <xf numFmtId="0" fontId="1" fillId="0" borderId="2" xfId="0" applyFont="1" applyBorder="1"/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1" fillId="0" borderId="4" xfId="0" applyFont="1" applyBorder="1"/>
    <xf numFmtId="0" fontId="2" fillId="0" borderId="2" xfId="0" applyFont="1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4" xfId="0" applyFont="1" applyBorder="1" applyAlignment="1">
      <alignment horizontal="center"/>
    </xf>
    <xf numFmtId="0" fontId="2" fillId="0" borderId="34" xfId="0" applyFont="1" applyBorder="1"/>
    <xf numFmtId="0" fontId="1" fillId="0" borderId="34" xfId="0" applyFont="1" applyBorder="1"/>
    <xf numFmtId="0" fontId="0" fillId="0" borderId="34" xfId="0" applyBorder="1"/>
    <xf numFmtId="0" fontId="2" fillId="0" borderId="2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1" fillId="0" borderId="34" xfId="0" applyFont="1" applyBorder="1" applyAlignment="1">
      <alignment horizontal="left"/>
    </xf>
    <xf numFmtId="0" fontId="1" fillId="0" borderId="35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35" xfId="0" applyBorder="1"/>
    <xf numFmtId="0" fontId="0" fillId="0" borderId="32" xfId="0" applyBorder="1"/>
    <xf numFmtId="0" fontId="0" fillId="0" borderId="33" xfId="0" applyBorder="1"/>
    <xf numFmtId="0" fontId="2" fillId="10" borderId="53" xfId="0" applyFont="1" applyFill="1" applyBorder="1" applyAlignment="1">
      <alignment horizontal="center"/>
    </xf>
    <xf numFmtId="0" fontId="2" fillId="12" borderId="34" xfId="0" applyFont="1" applyFill="1" applyBorder="1" applyAlignment="1">
      <alignment horizontal="center"/>
    </xf>
    <xf numFmtId="14" fontId="1" fillId="0" borderId="32" xfId="0" applyNumberFormat="1" applyFont="1" applyBorder="1" applyAlignment="1">
      <alignment horizontal="center"/>
    </xf>
    <xf numFmtId="0" fontId="0" fillId="0" borderId="3" xfId="0" applyBorder="1"/>
    <xf numFmtId="0" fontId="1" fillId="0" borderId="52" xfId="0" applyFont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2" borderId="58" xfId="0" applyFont="1" applyFill="1" applyBorder="1" applyAlignment="1">
      <alignment horizontal="center" vertical="center" wrapText="1"/>
    </xf>
    <xf numFmtId="0" fontId="1" fillId="0" borderId="1" xfId="0" applyFont="1" applyBorder="1"/>
    <xf numFmtId="165" fontId="1" fillId="0" borderId="1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6" fillId="4" borderId="63" xfId="0" applyFont="1" applyFill="1" applyBorder="1" applyAlignment="1">
      <alignment horizontal="center" vertical="center"/>
    </xf>
    <xf numFmtId="0" fontId="0" fillId="0" borderId="57" xfId="0" applyBorder="1" applyAlignment="1">
      <alignment horizontal="center"/>
    </xf>
    <xf numFmtId="0" fontId="14" fillId="19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19" borderId="26" xfId="0" applyFill="1" applyBorder="1" applyAlignment="1">
      <alignment horizontal="center"/>
    </xf>
    <xf numFmtId="0" fontId="14" fillId="19" borderId="66" xfId="0" applyFont="1" applyFill="1" applyBorder="1" applyAlignment="1">
      <alignment vertical="center"/>
    </xf>
    <xf numFmtId="0" fontId="0" fillId="0" borderId="66" xfId="0" applyBorder="1"/>
    <xf numFmtId="0" fontId="4" fillId="17" borderId="41" xfId="0" applyFont="1" applyFill="1" applyBorder="1" applyAlignment="1">
      <alignment horizontal="center"/>
    </xf>
    <xf numFmtId="0" fontId="4" fillId="13" borderId="41" xfId="0" applyFont="1" applyFill="1" applyBorder="1" applyAlignment="1">
      <alignment horizontal="center"/>
    </xf>
    <xf numFmtId="0" fontId="0" fillId="18" borderId="0" xfId="0" applyFill="1"/>
    <xf numFmtId="0" fontId="0" fillId="18" borderId="66" xfId="0" applyFill="1" applyBorder="1"/>
    <xf numFmtId="0" fontId="16" fillId="6" borderId="0" xfId="2" applyFont="1" applyFill="1" applyAlignment="1">
      <alignment wrapText="1"/>
    </xf>
    <xf numFmtId="0" fontId="16" fillId="0" borderId="0" xfId="2" applyFont="1" applyAlignment="1">
      <alignment wrapText="1"/>
    </xf>
    <xf numFmtId="0" fontId="15" fillId="0" borderId="0" xfId="2"/>
    <xf numFmtId="0" fontId="19" fillId="20" borderId="0" xfId="2" applyFont="1" applyFill="1"/>
    <xf numFmtId="0" fontId="15" fillId="20" borderId="0" xfId="2" applyFill="1"/>
    <xf numFmtId="0" fontId="20" fillId="20" borderId="0" xfId="2" applyFont="1" applyFill="1" applyAlignment="1">
      <alignment horizontal="center" vertical="center"/>
    </xf>
    <xf numFmtId="0" fontId="20" fillId="20" borderId="0" xfId="2" applyFont="1" applyFill="1" applyAlignment="1">
      <alignment horizontal="center"/>
    </xf>
    <xf numFmtId="0" fontId="19" fillId="0" borderId="0" xfId="2" applyFont="1" applyAlignment="1">
      <alignment horizontal="center"/>
    </xf>
    <xf numFmtId="0" fontId="21" fillId="20" borderId="0" xfId="2" applyFont="1" applyFill="1"/>
    <xf numFmtId="0" fontId="20" fillId="20" borderId="0" xfId="2" applyFont="1" applyFill="1" applyAlignment="1">
      <alignment horizontal="right" vertical="center" indent="1"/>
    </xf>
    <xf numFmtId="9" fontId="22" fillId="21" borderId="69" xfId="3" applyFont="1" applyFill="1" applyBorder="1" applyAlignment="1">
      <alignment horizontal="center" vertical="center"/>
    </xf>
    <xf numFmtId="9" fontId="20" fillId="21" borderId="70" xfId="3" applyFont="1" applyFill="1" applyBorder="1" applyAlignment="1">
      <alignment horizontal="center" vertical="center"/>
    </xf>
    <xf numFmtId="9" fontId="20" fillId="22" borderId="71" xfId="3" applyFont="1" applyFill="1" applyBorder="1" applyAlignment="1">
      <alignment horizontal="center" vertical="center"/>
    </xf>
    <xf numFmtId="9" fontId="20" fillId="22" borderId="72" xfId="3" applyFon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9" fontId="20" fillId="21" borderId="73" xfId="3" applyFont="1" applyFill="1" applyBorder="1" applyAlignment="1">
      <alignment horizontal="center" vertical="center"/>
    </xf>
    <xf numFmtId="9" fontId="22" fillId="22" borderId="0" xfId="3" applyFont="1" applyFill="1" applyBorder="1" applyAlignment="1">
      <alignment horizontal="center" vertical="center"/>
    </xf>
    <xf numFmtId="9" fontId="20" fillId="22" borderId="0" xfId="3" applyFont="1" applyFill="1" applyBorder="1" applyAlignment="1">
      <alignment horizontal="center" vertical="center"/>
    </xf>
    <xf numFmtId="9" fontId="20" fillId="23" borderId="74" xfId="3" applyFont="1" applyFill="1" applyBorder="1" applyAlignment="1">
      <alignment horizontal="center" vertical="center"/>
    </xf>
    <xf numFmtId="9" fontId="20" fillId="22" borderId="69" xfId="3" applyFont="1" applyFill="1" applyBorder="1" applyAlignment="1">
      <alignment horizontal="center" vertical="center"/>
    </xf>
    <xf numFmtId="9" fontId="22" fillId="23" borderId="75" xfId="3" applyFont="1" applyFill="1" applyBorder="1" applyAlignment="1">
      <alignment horizontal="center" vertical="center"/>
    </xf>
    <xf numFmtId="9" fontId="20" fillId="23" borderId="70" xfId="3" applyFont="1" applyFill="1" applyBorder="1" applyAlignment="1">
      <alignment horizontal="center" vertical="center"/>
    </xf>
    <xf numFmtId="9" fontId="20" fillId="24" borderId="74" xfId="3" applyFont="1" applyFill="1" applyBorder="1" applyAlignment="1">
      <alignment horizontal="center" vertical="center"/>
    </xf>
    <xf numFmtId="9" fontId="20" fillId="22" borderId="76" xfId="3" applyFont="1" applyFill="1" applyBorder="1" applyAlignment="1">
      <alignment horizontal="center" vertical="center"/>
    </xf>
    <xf numFmtId="9" fontId="20" fillId="24" borderId="75" xfId="3" applyFont="1" applyFill="1" applyBorder="1" applyAlignment="1">
      <alignment horizontal="center" vertical="center"/>
    </xf>
    <xf numFmtId="9" fontId="22" fillId="24" borderId="70" xfId="3" applyFont="1" applyFill="1" applyBorder="1" applyAlignment="1">
      <alignment horizontal="center" vertical="center"/>
    </xf>
    <xf numFmtId="9" fontId="20" fillId="5" borderId="77" xfId="3" applyFont="1" applyFill="1" applyBorder="1" applyAlignment="1">
      <alignment horizontal="center" vertical="center"/>
    </xf>
    <xf numFmtId="9" fontId="20" fillId="23" borderId="78" xfId="3" applyFont="1" applyFill="1" applyBorder="1" applyAlignment="1">
      <alignment horizontal="center" vertical="center"/>
    </xf>
    <xf numFmtId="9" fontId="20" fillId="24" borderId="78" xfId="3" applyFont="1" applyFill="1" applyBorder="1" applyAlignment="1">
      <alignment horizontal="center" vertical="center"/>
    </xf>
    <xf numFmtId="9" fontId="20" fillId="5" borderId="79" xfId="3" applyFont="1" applyFill="1" applyBorder="1" applyAlignment="1">
      <alignment horizontal="center" vertical="center"/>
    </xf>
    <xf numFmtId="9" fontId="22" fillId="5" borderId="80" xfId="3" applyFont="1" applyFill="1" applyBorder="1" applyAlignment="1">
      <alignment horizontal="center" vertical="center"/>
    </xf>
    <xf numFmtId="0" fontId="15" fillId="0" borderId="0" xfId="2" applyAlignment="1">
      <alignment horizontal="center"/>
    </xf>
    <xf numFmtId="0" fontId="23" fillId="20" borderId="0" xfId="2" applyFont="1" applyFill="1" applyAlignment="1">
      <alignment horizontal="left" wrapText="1" indent="1"/>
    </xf>
    <xf numFmtId="0" fontId="23" fillId="20" borderId="0" xfId="2" applyFont="1" applyFill="1" applyAlignment="1">
      <alignment horizontal="center" wrapText="1"/>
    </xf>
    <xf numFmtId="0" fontId="24" fillId="20" borderId="0" xfId="2" applyFont="1" applyFill="1" applyAlignment="1">
      <alignment vertical="center" wrapText="1"/>
    </xf>
    <xf numFmtId="0" fontId="25" fillId="20" borderId="79" xfId="2" applyFont="1" applyFill="1" applyBorder="1" applyAlignment="1">
      <alignment horizontal="center" vertical="center" wrapText="1"/>
    </xf>
    <xf numFmtId="0" fontId="25" fillId="20" borderId="79" xfId="2" applyFont="1" applyFill="1" applyBorder="1" applyAlignment="1">
      <alignment horizontal="center" vertical="center"/>
    </xf>
    <xf numFmtId="0" fontId="26" fillId="20" borderId="0" xfId="2" applyFont="1" applyFill="1" applyAlignment="1">
      <alignment horizontal="left" vertical="center" indent="1"/>
    </xf>
    <xf numFmtId="0" fontId="27" fillId="21" borderId="81" xfId="2" applyFont="1" applyFill="1" applyBorder="1" applyAlignment="1">
      <alignment horizontal="center" vertical="center" wrapText="1"/>
    </xf>
    <xf numFmtId="0" fontId="27" fillId="21" borderId="81" xfId="2" applyFont="1" applyFill="1" applyBorder="1" applyAlignment="1">
      <alignment horizontal="left" vertical="center" wrapText="1" indent="1"/>
    </xf>
    <xf numFmtId="0" fontId="20" fillId="21" borderId="81" xfId="2" applyFont="1" applyFill="1" applyBorder="1" applyAlignment="1">
      <alignment horizontal="center" vertical="center" wrapText="1"/>
    </xf>
    <xf numFmtId="9" fontId="25" fillId="20" borderId="0" xfId="3" applyFont="1" applyFill="1" applyAlignment="1">
      <alignment horizontal="left" vertical="center" indent="1"/>
    </xf>
    <xf numFmtId="0" fontId="27" fillId="22" borderId="74" xfId="2" applyFont="1" applyFill="1" applyBorder="1" applyAlignment="1">
      <alignment horizontal="center" vertical="center" wrapText="1"/>
    </xf>
    <xf numFmtId="0" fontId="27" fillId="22" borderId="74" xfId="2" applyFont="1" applyFill="1" applyBorder="1" applyAlignment="1">
      <alignment horizontal="left" vertical="center" wrapText="1" indent="1"/>
    </xf>
    <xf numFmtId="0" fontId="20" fillId="22" borderId="74" xfId="2" applyFont="1" applyFill="1" applyBorder="1" applyAlignment="1">
      <alignment horizontal="center" vertical="center" wrapText="1"/>
    </xf>
    <xf numFmtId="0" fontId="27" fillId="23" borderId="74" xfId="2" applyFont="1" applyFill="1" applyBorder="1" applyAlignment="1">
      <alignment horizontal="center" vertical="center" wrapText="1"/>
    </xf>
    <xf numFmtId="0" fontId="27" fillId="23" borderId="74" xfId="2" applyFont="1" applyFill="1" applyBorder="1" applyAlignment="1">
      <alignment horizontal="left" vertical="center" wrapText="1" indent="1"/>
    </xf>
    <xf numFmtId="0" fontId="20" fillId="23" borderId="74" xfId="2" applyFont="1" applyFill="1" applyBorder="1" applyAlignment="1">
      <alignment horizontal="center" vertical="center" wrapText="1"/>
    </xf>
    <xf numFmtId="0" fontId="27" fillId="24" borderId="74" xfId="2" applyFont="1" applyFill="1" applyBorder="1" applyAlignment="1">
      <alignment horizontal="center" vertical="center" wrapText="1"/>
    </xf>
    <xf numFmtId="0" fontId="27" fillId="24" borderId="74" xfId="2" applyFont="1" applyFill="1" applyBorder="1" applyAlignment="1">
      <alignment horizontal="left" vertical="center" wrapText="1" indent="1"/>
    </xf>
    <xf numFmtId="0" fontId="20" fillId="24" borderId="74" xfId="2" applyFont="1" applyFill="1" applyBorder="1" applyAlignment="1">
      <alignment horizontal="center" vertical="center" wrapText="1"/>
    </xf>
    <xf numFmtId="0" fontId="25" fillId="20" borderId="0" xfId="2" applyFont="1" applyFill="1" applyAlignment="1">
      <alignment horizontal="center" vertical="center"/>
    </xf>
    <xf numFmtId="0" fontId="27" fillId="5" borderId="74" xfId="2" applyFont="1" applyFill="1" applyBorder="1" applyAlignment="1">
      <alignment horizontal="center" vertical="center" wrapText="1"/>
    </xf>
    <xf numFmtId="0" fontId="27" fillId="5" borderId="74" xfId="2" applyFont="1" applyFill="1" applyBorder="1" applyAlignment="1">
      <alignment horizontal="left" vertical="center" wrapText="1" indent="1"/>
    </xf>
    <xf numFmtId="0" fontId="20" fillId="5" borderId="74" xfId="2" applyFont="1" applyFill="1" applyBorder="1" applyAlignment="1">
      <alignment horizontal="center" vertical="center" wrapText="1"/>
    </xf>
    <xf numFmtId="0" fontId="20" fillId="25" borderId="74" xfId="2" applyFont="1" applyFill="1" applyBorder="1" applyAlignment="1">
      <alignment horizontal="center" vertical="center" wrapText="1"/>
    </xf>
    <xf numFmtId="0" fontId="16" fillId="20" borderId="0" xfId="2" applyFont="1" applyFill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29" fillId="6" borderId="0" xfId="2" applyFont="1" applyFill="1" applyAlignment="1">
      <alignment horizontal="left" vertical="top"/>
    </xf>
    <xf numFmtId="0" fontId="27" fillId="0" borderId="0" xfId="2" applyFont="1"/>
    <xf numFmtId="0" fontId="32" fillId="26" borderId="83" xfId="2" applyFont="1" applyFill="1" applyBorder="1" applyAlignment="1">
      <alignment horizontal="left" vertical="center" wrapText="1" indent="1"/>
    </xf>
    <xf numFmtId="0" fontId="32" fillId="26" borderId="83" xfId="2" applyFont="1" applyFill="1" applyBorder="1" applyAlignment="1">
      <alignment horizontal="center" vertical="center" wrapText="1"/>
    </xf>
    <xf numFmtId="0" fontId="33" fillId="27" borderId="83" xfId="2" applyFont="1" applyFill="1" applyBorder="1" applyAlignment="1">
      <alignment horizontal="left" vertical="center" wrapText="1" indent="1"/>
    </xf>
    <xf numFmtId="0" fontId="35" fillId="0" borderId="0" xfId="2" applyFont="1"/>
    <xf numFmtId="1" fontId="16" fillId="6" borderId="83" xfId="2" applyNumberFormat="1" applyFont="1" applyFill="1" applyBorder="1" applyAlignment="1">
      <alignment horizontal="left" vertical="center" wrapText="1" indent="1"/>
    </xf>
    <xf numFmtId="166" fontId="16" fillId="6" borderId="83" xfId="2" applyNumberFormat="1" applyFont="1" applyFill="1" applyBorder="1" applyAlignment="1">
      <alignment horizontal="center" vertical="center" wrapText="1"/>
    </xf>
    <xf numFmtId="0" fontId="16" fillId="6" borderId="83" xfId="2" applyFont="1" applyFill="1" applyBorder="1" applyAlignment="1">
      <alignment horizontal="left" vertical="center" wrapText="1" indent="1"/>
    </xf>
    <xf numFmtId="0" fontId="36" fillId="0" borderId="83" xfId="2" applyFont="1" applyBorder="1" applyAlignment="1">
      <alignment horizontal="center" vertical="center" wrapText="1"/>
    </xf>
    <xf numFmtId="0" fontId="37" fillId="28" borderId="83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 wrapText="1" indent="1"/>
    </xf>
    <xf numFmtId="0" fontId="23" fillId="0" borderId="0" xfId="2" applyFont="1" applyAlignment="1">
      <alignment horizontal="center" wrapText="1"/>
    </xf>
    <xf numFmtId="0" fontId="17" fillId="6" borderId="0" xfId="2" applyFont="1" applyFill="1" applyAlignment="1">
      <alignment horizontal="left" vertical="center"/>
    </xf>
    <xf numFmtId="0" fontId="17" fillId="6" borderId="0" xfId="2" applyFont="1" applyFill="1" applyAlignment="1">
      <alignment vertical="center"/>
    </xf>
    <xf numFmtId="0" fontId="25" fillId="0" borderId="0" xfId="2" applyFont="1" applyAlignment="1">
      <alignment vertical="center" wrapText="1"/>
    </xf>
    <xf numFmtId="0" fontId="20" fillId="0" borderId="0" xfId="2" applyFont="1" applyAlignment="1">
      <alignment horizontal="center"/>
    </xf>
    <xf numFmtId="0" fontId="19" fillId="0" borderId="0" xfId="2" applyFont="1"/>
    <xf numFmtId="0" fontId="16" fillId="29" borderId="74" xfId="2" applyFont="1" applyFill="1" applyBorder="1" applyAlignment="1">
      <alignment horizontal="left" vertical="center" wrapText="1" indent="1"/>
    </xf>
    <xf numFmtId="0" fontId="16" fillId="30" borderId="74" xfId="2" applyFont="1" applyFill="1" applyBorder="1" applyAlignment="1">
      <alignment horizontal="left" vertical="center" wrapText="1" indent="1"/>
    </xf>
    <xf numFmtId="0" fontId="27" fillId="21" borderId="74" xfId="2" applyFont="1" applyFill="1" applyBorder="1" applyAlignment="1">
      <alignment horizontal="left" vertical="center" wrapText="1" indent="1"/>
    </xf>
    <xf numFmtId="0" fontId="21" fillId="0" borderId="0" xfId="2" applyFont="1"/>
    <xf numFmtId="0" fontId="20" fillId="21" borderId="74" xfId="2" applyFont="1" applyFill="1" applyBorder="1" applyAlignment="1">
      <alignment horizontal="center" vertical="center"/>
    </xf>
    <xf numFmtId="0" fontId="20" fillId="22" borderId="74" xfId="2" applyFont="1" applyFill="1" applyBorder="1" applyAlignment="1">
      <alignment horizontal="center" vertical="center"/>
    </xf>
    <xf numFmtId="0" fontId="16" fillId="31" borderId="74" xfId="2" applyFont="1" applyFill="1" applyBorder="1" applyAlignment="1">
      <alignment horizontal="left" vertical="center" wrapText="1" indent="1"/>
    </xf>
    <xf numFmtId="0" fontId="16" fillId="32" borderId="74" xfId="2" applyFont="1" applyFill="1" applyBorder="1" applyAlignment="1">
      <alignment horizontal="left" vertical="center" wrapText="1" indent="1"/>
    </xf>
    <xf numFmtId="0" fontId="20" fillId="23" borderId="74" xfId="2" applyFont="1" applyFill="1" applyBorder="1" applyAlignment="1">
      <alignment horizontal="center" vertical="center"/>
    </xf>
    <xf numFmtId="0" fontId="16" fillId="33" borderId="74" xfId="2" applyFont="1" applyFill="1" applyBorder="1" applyAlignment="1">
      <alignment horizontal="left" vertical="center" wrapText="1" indent="1"/>
    </xf>
    <xf numFmtId="0" fontId="16" fillId="28" borderId="74" xfId="2" applyFont="1" applyFill="1" applyBorder="1" applyAlignment="1">
      <alignment horizontal="left" vertical="center" wrapText="1" indent="1"/>
    </xf>
    <xf numFmtId="0" fontId="20" fillId="24" borderId="74" xfId="2" applyFont="1" applyFill="1" applyBorder="1" applyAlignment="1">
      <alignment horizontal="center" vertical="center"/>
    </xf>
    <xf numFmtId="0" fontId="16" fillId="34" borderId="74" xfId="2" applyFont="1" applyFill="1" applyBorder="1" applyAlignment="1">
      <alignment horizontal="left" vertical="center" wrapText="1" indent="1"/>
    </xf>
    <xf numFmtId="0" fontId="16" fillId="35" borderId="74" xfId="2" applyFont="1" applyFill="1" applyBorder="1" applyAlignment="1">
      <alignment horizontal="left" vertical="center" wrapText="1" indent="1"/>
    </xf>
    <xf numFmtId="0" fontId="20" fillId="5" borderId="74" xfId="2" applyFont="1" applyFill="1" applyBorder="1" applyAlignment="1">
      <alignment horizontal="center" vertical="center"/>
    </xf>
    <xf numFmtId="0" fontId="16" fillId="36" borderId="74" xfId="2" applyFont="1" applyFill="1" applyBorder="1" applyAlignment="1">
      <alignment horizontal="left" vertical="center" wrapText="1" indent="1"/>
    </xf>
    <xf numFmtId="0" fontId="16" fillId="37" borderId="74" xfId="2" applyFont="1" applyFill="1" applyBorder="1" applyAlignment="1">
      <alignment horizontal="left" vertical="center" wrapText="1" indent="1"/>
    </xf>
    <xf numFmtId="0" fontId="39" fillId="38" borderId="87" xfId="2" applyFont="1" applyFill="1" applyBorder="1" applyAlignment="1">
      <alignment horizontal="center" vertical="center" wrapText="1"/>
    </xf>
    <xf numFmtId="0" fontId="27" fillId="29" borderId="74" xfId="2" applyFont="1" applyFill="1" applyBorder="1" applyAlignment="1">
      <alignment horizontal="center" vertical="center" wrapText="1"/>
    </xf>
    <xf numFmtId="0" fontId="27" fillId="30" borderId="74" xfId="2" applyFont="1" applyFill="1" applyBorder="1" applyAlignment="1">
      <alignment horizontal="center" vertical="center" wrapText="1"/>
    </xf>
    <xf numFmtId="0" fontId="27" fillId="31" borderId="74" xfId="2" applyFont="1" applyFill="1" applyBorder="1" applyAlignment="1">
      <alignment horizontal="center" vertical="center" wrapText="1"/>
    </xf>
    <xf numFmtId="0" fontId="27" fillId="32" borderId="74" xfId="2" applyFont="1" applyFill="1" applyBorder="1" applyAlignment="1">
      <alignment horizontal="center" vertical="center" wrapText="1"/>
    </xf>
    <xf numFmtId="0" fontId="27" fillId="33" borderId="74" xfId="2" applyFont="1" applyFill="1" applyBorder="1" applyAlignment="1">
      <alignment horizontal="center" vertical="center" wrapText="1"/>
    </xf>
    <xf numFmtId="0" fontId="27" fillId="28" borderId="74" xfId="2" applyFont="1" applyFill="1" applyBorder="1" applyAlignment="1">
      <alignment horizontal="center" vertical="center" wrapText="1"/>
    </xf>
    <xf numFmtId="0" fontId="27" fillId="34" borderId="74" xfId="2" applyFont="1" applyFill="1" applyBorder="1" applyAlignment="1">
      <alignment horizontal="center" vertical="center" wrapText="1"/>
    </xf>
    <xf numFmtId="0" fontId="27" fillId="35" borderId="74" xfId="2" applyFont="1" applyFill="1" applyBorder="1" applyAlignment="1">
      <alignment horizontal="center" vertical="center" wrapText="1"/>
    </xf>
    <xf numFmtId="0" fontId="27" fillId="36" borderId="74" xfId="2" applyFont="1" applyFill="1" applyBorder="1" applyAlignment="1">
      <alignment horizontal="center" vertical="center" wrapText="1"/>
    </xf>
    <xf numFmtId="0" fontId="39" fillId="38" borderId="87" xfId="2" applyFont="1" applyFill="1" applyBorder="1" applyAlignment="1">
      <alignment horizontal="left" vertical="center" wrapText="1" indent="1"/>
    </xf>
    <xf numFmtId="0" fontId="16" fillId="0" borderId="83" xfId="2" applyFont="1" applyBorder="1" applyAlignment="1">
      <alignment horizontal="left" vertical="center" wrapText="1" indent="1"/>
    </xf>
    <xf numFmtId="0" fontId="0" fillId="6" borderId="0" xfId="0" applyFill="1"/>
    <xf numFmtId="0" fontId="0" fillId="6" borderId="0" xfId="0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left"/>
    </xf>
    <xf numFmtId="0" fontId="0" fillId="6" borderId="66" xfId="0" applyFill="1" applyBorder="1"/>
    <xf numFmtId="0" fontId="8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 applyAlignment="1">
      <alignment horizontal="left"/>
    </xf>
    <xf numFmtId="2" fontId="0" fillId="6" borderId="0" xfId="0" applyNumberFormat="1" applyFill="1" applyAlignment="1">
      <alignment horizontal="center"/>
    </xf>
    <xf numFmtId="2" fontId="4" fillId="6" borderId="2" xfId="0" applyNumberFormat="1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" fontId="4" fillId="6" borderId="1" xfId="0" applyNumberFormat="1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  <xf numFmtId="0" fontId="4" fillId="6" borderId="28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1" xfId="0" applyFont="1" applyFill="1" applyBorder="1"/>
    <xf numFmtId="0" fontId="0" fillId="6" borderId="1" xfId="0" applyFill="1" applyBorder="1"/>
    <xf numFmtId="0" fontId="0" fillId="6" borderId="3" xfId="0" applyFill="1" applyBorder="1" applyAlignment="1">
      <alignment horizontal="center"/>
    </xf>
    <xf numFmtId="0" fontId="9" fillId="6" borderId="1" xfId="0" applyFont="1" applyFill="1" applyBorder="1"/>
    <xf numFmtId="2" fontId="4" fillId="6" borderId="4" xfId="0" applyNumberFormat="1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164" fontId="2" fillId="6" borderId="61" xfId="0" applyNumberFormat="1" applyFont="1" applyFill="1" applyBorder="1" applyAlignment="1">
      <alignment horizontal="center"/>
    </xf>
    <xf numFmtId="0" fontId="4" fillId="6" borderId="41" xfId="0" applyFont="1" applyFill="1" applyBorder="1" applyAlignment="1">
      <alignment horizontal="center"/>
    </xf>
    <xf numFmtId="164" fontId="2" fillId="6" borderId="41" xfId="0" applyNumberFormat="1" applyFont="1" applyFill="1" applyBorder="1" applyAlignment="1">
      <alignment horizontal="center"/>
    </xf>
    <xf numFmtId="164" fontId="2" fillId="6" borderId="60" xfId="0" applyNumberFormat="1" applyFont="1" applyFill="1" applyBorder="1" applyAlignment="1">
      <alignment horizontal="center"/>
    </xf>
    <xf numFmtId="0" fontId="4" fillId="6" borderId="42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2" fontId="4" fillId="6" borderId="5" xfId="0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12" fillId="6" borderId="6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 vertical="center"/>
    </xf>
    <xf numFmtId="2" fontId="3" fillId="6" borderId="60" xfId="0" applyNumberFormat="1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63" xfId="0" applyFont="1" applyFill="1" applyBorder="1"/>
    <xf numFmtId="0" fontId="3" fillId="6" borderId="5" xfId="0" applyFont="1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2" fillId="6" borderId="1" xfId="0" applyNumberFormat="1" applyFont="1" applyFill="1" applyBorder="1" applyAlignment="1">
      <alignment horizontal="center"/>
    </xf>
    <xf numFmtId="2" fontId="2" fillId="6" borderId="7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2" fontId="2" fillId="6" borderId="5" xfId="0" applyNumberFormat="1" applyFont="1" applyFill="1" applyBorder="1" applyAlignment="1">
      <alignment horizontal="center"/>
    </xf>
    <xf numFmtId="2" fontId="2" fillId="6" borderId="5" xfId="0" applyNumberFormat="1" applyFont="1" applyFill="1" applyBorder="1" applyAlignment="1">
      <alignment horizontal="center" vertical="center"/>
    </xf>
    <xf numFmtId="2" fontId="0" fillId="6" borderId="36" xfId="0" applyNumberForma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2" fontId="0" fillId="6" borderId="51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2" fillId="6" borderId="35" xfId="0" applyFont="1" applyFill="1" applyBorder="1" applyAlignment="1">
      <alignment horizontal="center"/>
    </xf>
    <xf numFmtId="14" fontId="0" fillId="6" borderId="33" xfId="0" applyNumberFormat="1" applyFill="1" applyBorder="1" applyAlignment="1">
      <alignment horizontal="center"/>
    </xf>
    <xf numFmtId="0" fontId="2" fillId="6" borderId="32" xfId="0" applyFont="1" applyFill="1" applyBorder="1"/>
    <xf numFmtId="0" fontId="16" fillId="15" borderId="74" xfId="2" applyFont="1" applyFill="1" applyBorder="1" applyAlignment="1">
      <alignment horizontal="left" vertical="center" wrapText="1" indent="1"/>
    </xf>
    <xf numFmtId="0" fontId="16" fillId="18" borderId="74" xfId="2" applyFont="1" applyFill="1" applyBorder="1" applyAlignment="1">
      <alignment horizontal="left" vertical="center" wrapText="1" indent="1"/>
    </xf>
    <xf numFmtId="0" fontId="16" fillId="37" borderId="74" xfId="2" applyFont="1" applyFill="1" applyBorder="1" applyAlignment="1">
      <alignment horizontal="center" vertical="center" wrapText="1"/>
    </xf>
    <xf numFmtId="0" fontId="16" fillId="15" borderId="74" xfId="2" applyFont="1" applyFill="1" applyBorder="1" applyAlignment="1">
      <alignment horizontal="center" vertical="center" wrapText="1"/>
    </xf>
    <xf numFmtId="0" fontId="16" fillId="18" borderId="74" xfId="2" applyFont="1" applyFill="1" applyBorder="1" applyAlignment="1">
      <alignment horizontal="center" vertical="center" wrapText="1"/>
    </xf>
    <xf numFmtId="2" fontId="36" fillId="0" borderId="83" xfId="2" applyNumberFormat="1" applyFont="1" applyBorder="1" applyAlignment="1">
      <alignment horizontal="center" vertical="center" wrapText="1"/>
    </xf>
    <xf numFmtId="167" fontId="37" fillId="28" borderId="83" xfId="2" applyNumberFormat="1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/>
    </xf>
    <xf numFmtId="2" fontId="4" fillId="6" borderId="12" xfId="0" applyNumberFormat="1" applyFont="1" applyFill="1" applyBorder="1" applyAlignment="1">
      <alignment horizontal="center"/>
    </xf>
    <xf numFmtId="0" fontId="4" fillId="5" borderId="48" xfId="0" applyFont="1" applyFill="1" applyBorder="1" applyAlignment="1">
      <alignment horizontal="center"/>
    </xf>
    <xf numFmtId="0" fontId="3" fillId="6" borderId="54" xfId="0" applyFont="1" applyFill="1" applyBorder="1" applyAlignment="1">
      <alignment horizontal="center"/>
    </xf>
    <xf numFmtId="9" fontId="4" fillId="6" borderId="2" xfId="0" applyNumberFormat="1" applyFont="1" applyFill="1" applyBorder="1" applyAlignment="1">
      <alignment horizontal="center"/>
    </xf>
    <xf numFmtId="164" fontId="3" fillId="6" borderId="15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2" fontId="4" fillId="6" borderId="28" xfId="0" applyNumberFormat="1" applyFont="1" applyFill="1" applyBorder="1" applyAlignment="1">
      <alignment horizontal="center"/>
    </xf>
    <xf numFmtId="0" fontId="3" fillId="6" borderId="5" xfId="0" applyFont="1" applyFill="1" applyBorder="1" applyAlignment="1">
      <alignment horizontal="left"/>
    </xf>
    <xf numFmtId="0" fontId="6" fillId="6" borderId="37" xfId="0" applyFont="1" applyFill="1" applyBorder="1" applyAlignment="1">
      <alignment horizontal="center"/>
    </xf>
    <xf numFmtId="0" fontId="4" fillId="6" borderId="36" xfId="0" applyFont="1" applyFill="1" applyBorder="1" applyAlignment="1">
      <alignment horizontal="center"/>
    </xf>
    <xf numFmtId="0" fontId="6" fillId="6" borderId="36" xfId="0" applyFont="1" applyFill="1" applyBorder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2" fontId="2" fillId="6" borderId="12" xfId="0" applyNumberFormat="1" applyFont="1" applyFill="1" applyBorder="1" applyAlignment="1">
      <alignment horizontal="center"/>
    </xf>
    <xf numFmtId="2" fontId="2" fillId="6" borderId="61" xfId="0" applyNumberFormat="1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13" borderId="19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3" fillId="39" borderId="10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0" fontId="3" fillId="13" borderId="8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/>
    </xf>
    <xf numFmtId="0" fontId="3" fillId="39" borderId="3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3" fillId="14" borderId="8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center"/>
    </xf>
    <xf numFmtId="0" fontId="3" fillId="39" borderId="6" xfId="0" applyFont="1" applyFill="1" applyBorder="1" applyAlignment="1">
      <alignment horizontal="center"/>
    </xf>
    <xf numFmtId="0" fontId="6" fillId="6" borderId="35" xfId="0" applyFont="1" applyFill="1" applyBorder="1"/>
    <xf numFmtId="0" fontId="6" fillId="6" borderId="12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6" fillId="39" borderId="1" xfId="0" applyFont="1" applyFill="1" applyBorder="1" applyAlignment="1">
      <alignment horizontal="center"/>
    </xf>
    <xf numFmtId="0" fontId="6" fillId="39" borderId="5" xfId="0" applyFont="1" applyFill="1" applyBorder="1" applyAlignment="1">
      <alignment horizontal="center"/>
    </xf>
    <xf numFmtId="2" fontId="2" fillId="6" borderId="2" xfId="0" applyNumberFormat="1" applyFont="1" applyFill="1" applyBorder="1" applyAlignment="1">
      <alignment horizontal="center"/>
    </xf>
    <xf numFmtId="2" fontId="2" fillId="6" borderId="1" xfId="0" applyNumberFormat="1" applyFont="1" applyFill="1" applyBorder="1" applyAlignment="1">
      <alignment horizontal="center"/>
    </xf>
    <xf numFmtId="9" fontId="2" fillId="0" borderId="13" xfId="0" applyNumberFormat="1" applyFont="1" applyBorder="1" applyAlignment="1">
      <alignment horizontal="center" vertical="center" wrapText="1"/>
    </xf>
    <xf numFmtId="9" fontId="2" fillId="0" borderId="7" xfId="0" applyNumberFormat="1" applyFont="1" applyBorder="1" applyAlignment="1">
      <alignment horizontal="center" vertical="center" wrapText="1"/>
    </xf>
    <xf numFmtId="0" fontId="6" fillId="19" borderId="22" xfId="0" applyFont="1" applyFill="1" applyBorder="1" applyAlignment="1">
      <alignment horizontal="center" vertical="center"/>
    </xf>
    <xf numFmtId="0" fontId="6" fillId="19" borderId="23" xfId="0" applyFont="1" applyFill="1" applyBorder="1" applyAlignment="1">
      <alignment horizontal="center" vertical="center"/>
    </xf>
    <xf numFmtId="2" fontId="2" fillId="6" borderId="7" xfId="0" applyNumberFormat="1" applyFont="1" applyFill="1" applyBorder="1" applyAlignment="1">
      <alignment horizontal="center"/>
    </xf>
    <xf numFmtId="0" fontId="13" fillId="0" borderId="35" xfId="1" applyBorder="1" applyAlignment="1">
      <alignment horizontal="center" vertical="center" wrapText="1"/>
    </xf>
    <xf numFmtId="0" fontId="13" fillId="0" borderId="33" xfId="1" applyBorder="1" applyAlignment="1">
      <alignment horizontal="center" vertical="center" wrapText="1"/>
    </xf>
    <xf numFmtId="0" fontId="1" fillId="0" borderId="27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2" fillId="19" borderId="35" xfId="0" applyFont="1" applyFill="1" applyBorder="1" applyAlignment="1">
      <alignment horizontal="center"/>
    </xf>
    <xf numFmtId="0" fontId="2" fillId="19" borderId="33" xfId="0" applyFont="1" applyFill="1" applyBorder="1" applyAlignment="1">
      <alignment horizontal="center"/>
    </xf>
    <xf numFmtId="0" fontId="6" fillId="2" borderId="35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2" fontId="6" fillId="15" borderId="24" xfId="0" applyNumberFormat="1" applyFont="1" applyFill="1" applyBorder="1" applyAlignment="1">
      <alignment horizontal="center" vertical="center" wrapText="1"/>
    </xf>
    <xf numFmtId="2" fontId="6" fillId="15" borderId="21" xfId="0" applyNumberFormat="1" applyFont="1" applyFill="1" applyBorder="1" applyAlignment="1">
      <alignment horizontal="center" vertical="center" wrapText="1"/>
    </xf>
    <xf numFmtId="2" fontId="11" fillId="14" borderId="30" xfId="0" applyNumberFormat="1" applyFont="1" applyFill="1" applyBorder="1" applyAlignment="1">
      <alignment horizontal="center" vertical="center" wrapText="1"/>
    </xf>
    <xf numFmtId="2" fontId="11" fillId="14" borderId="29" xfId="0" applyNumberFormat="1" applyFont="1" applyFill="1" applyBorder="1" applyAlignment="1">
      <alignment horizontal="center" vertical="center" wrapText="1"/>
    </xf>
    <xf numFmtId="2" fontId="11" fillId="14" borderId="27" xfId="0" applyNumberFormat="1" applyFont="1" applyFill="1" applyBorder="1" applyAlignment="1">
      <alignment horizontal="center" vertical="center" wrapText="1"/>
    </xf>
    <xf numFmtId="2" fontId="11" fillId="14" borderId="31" xfId="0" applyNumberFormat="1" applyFont="1" applyFill="1" applyBorder="1" applyAlignment="1">
      <alignment horizontal="center" vertical="center" wrapText="1"/>
    </xf>
    <xf numFmtId="164" fontId="2" fillId="6" borderId="39" xfId="0" applyNumberFormat="1" applyFont="1" applyFill="1" applyBorder="1" applyAlignment="1">
      <alignment horizontal="center" vertical="center" wrapText="1"/>
    </xf>
    <xf numFmtId="164" fontId="2" fillId="6" borderId="40" xfId="0" applyNumberFormat="1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2" fontId="6" fillId="19" borderId="35" xfId="0" applyNumberFormat="1" applyFont="1" applyFill="1" applyBorder="1" applyAlignment="1">
      <alignment horizontal="center"/>
    </xf>
    <xf numFmtId="2" fontId="6" fillId="19" borderId="32" xfId="0" applyNumberFormat="1" applyFont="1" applyFill="1" applyBorder="1" applyAlignment="1">
      <alignment horizontal="center"/>
    </xf>
    <xf numFmtId="2" fontId="6" fillId="19" borderId="33" xfId="0" applyNumberFormat="1" applyFont="1" applyFill="1" applyBorder="1" applyAlignment="1">
      <alignment horizontal="center"/>
    </xf>
    <xf numFmtId="0" fontId="4" fillId="2" borderId="48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30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2" fontId="2" fillId="6" borderId="17" xfId="0" applyNumberFormat="1" applyFont="1" applyFill="1" applyBorder="1" applyAlignment="1">
      <alignment horizontal="center" vertical="center"/>
    </xf>
    <xf numFmtId="2" fontId="2" fillId="6" borderId="18" xfId="0" applyNumberFormat="1" applyFont="1" applyFill="1" applyBorder="1" applyAlignment="1">
      <alignment horizontal="center" vertical="center"/>
    </xf>
    <xf numFmtId="2" fontId="2" fillId="6" borderId="41" xfId="0" applyNumberFormat="1" applyFont="1" applyFill="1" applyBorder="1" applyAlignment="1">
      <alignment horizontal="center" vertical="center"/>
    </xf>
    <xf numFmtId="2" fontId="11" fillId="14" borderId="49" xfId="0" applyNumberFormat="1" applyFont="1" applyFill="1" applyBorder="1" applyAlignment="1">
      <alignment horizontal="center" vertical="center"/>
    </xf>
    <xf numFmtId="2" fontId="11" fillId="5" borderId="29" xfId="0" applyNumberFormat="1" applyFont="1" applyFill="1" applyBorder="1" applyAlignment="1">
      <alignment horizontal="center" vertical="center"/>
    </xf>
    <xf numFmtId="2" fontId="11" fillId="5" borderId="50" xfId="0" applyNumberFormat="1" applyFont="1" applyFill="1" applyBorder="1" applyAlignment="1">
      <alignment horizontal="center" vertical="center"/>
    </xf>
    <xf numFmtId="2" fontId="11" fillId="5" borderId="31" xfId="0" applyNumberFormat="1" applyFont="1" applyFill="1" applyBorder="1" applyAlignment="1">
      <alignment horizontal="center" vertical="center"/>
    </xf>
    <xf numFmtId="2" fontId="11" fillId="5" borderId="48" xfId="0" applyNumberFormat="1" applyFont="1" applyFill="1" applyBorder="1" applyAlignment="1">
      <alignment horizontal="center" vertical="center"/>
    </xf>
    <xf numFmtId="2" fontId="11" fillId="5" borderId="40" xfId="0" applyNumberFormat="1" applyFont="1" applyFill="1" applyBorder="1" applyAlignment="1">
      <alignment horizontal="center" vertical="center"/>
    </xf>
    <xf numFmtId="2" fontId="2" fillId="6" borderId="5" xfId="0" applyNumberFormat="1" applyFont="1" applyFill="1" applyBorder="1" applyAlignment="1">
      <alignment horizontal="center"/>
    </xf>
    <xf numFmtId="2" fontId="2" fillId="6" borderId="14" xfId="0" applyNumberFormat="1" applyFont="1" applyFill="1" applyBorder="1" applyAlignment="1">
      <alignment horizontal="center"/>
    </xf>
    <xf numFmtId="2" fontId="2" fillId="6" borderId="37" xfId="0" applyNumberFormat="1" applyFont="1" applyFill="1" applyBorder="1" applyAlignment="1">
      <alignment horizontal="center"/>
    </xf>
    <xf numFmtId="0" fontId="2" fillId="2" borderId="45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6" fillId="2" borderId="43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4" fillId="19" borderId="22" xfId="0" applyFont="1" applyFill="1" applyBorder="1" applyAlignment="1">
      <alignment horizontal="center"/>
    </xf>
    <xf numFmtId="0" fontId="4" fillId="19" borderId="19" xfId="0" applyFont="1" applyFill="1" applyBorder="1" applyAlignment="1">
      <alignment horizontal="center"/>
    </xf>
    <xf numFmtId="0" fontId="4" fillId="19" borderId="23" xfId="0" applyFont="1" applyFill="1" applyBorder="1" applyAlignment="1">
      <alignment horizontal="center"/>
    </xf>
    <xf numFmtId="0" fontId="4" fillId="2" borderId="54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14" fontId="12" fillId="0" borderId="29" xfId="0" applyNumberFormat="1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/>
    </xf>
    <xf numFmtId="0" fontId="4" fillId="2" borderId="64" xfId="0" applyFont="1" applyFill="1" applyBorder="1" applyAlignment="1">
      <alignment horizontal="center" vertical="center" wrapText="1"/>
    </xf>
    <xf numFmtId="0" fontId="4" fillId="2" borderId="65" xfId="0" applyFont="1" applyFill="1" applyBorder="1" applyAlignment="1">
      <alignment horizontal="center" vertical="center" wrapText="1"/>
    </xf>
    <xf numFmtId="9" fontId="2" fillId="0" borderId="54" xfId="0" applyNumberFormat="1" applyFont="1" applyBorder="1" applyAlignment="1">
      <alignment horizontal="center" vertical="center" wrapText="1"/>
    </xf>
    <xf numFmtId="9" fontId="2" fillId="0" borderId="38" xfId="0" applyNumberFormat="1" applyFont="1" applyBorder="1" applyAlignment="1">
      <alignment horizontal="center" vertical="center" wrapText="1"/>
    </xf>
    <xf numFmtId="2" fontId="2" fillId="6" borderId="4" xfId="0" applyNumberFormat="1" applyFont="1" applyFill="1" applyBorder="1" applyAlignment="1">
      <alignment horizontal="center"/>
    </xf>
    <xf numFmtId="0" fontId="2" fillId="0" borderId="35" xfId="0" applyFont="1" applyBorder="1" applyAlignment="1">
      <alignment horizontal="left"/>
    </xf>
    <xf numFmtId="0" fontId="2" fillId="0" borderId="33" xfId="0" applyFont="1" applyBorder="1" applyAlignment="1">
      <alignment horizontal="left"/>
    </xf>
    <xf numFmtId="0" fontId="4" fillId="2" borderId="43" xfId="0" applyFont="1" applyFill="1" applyBorder="1" applyAlignment="1">
      <alignment horizontal="center" vertical="center" wrapText="1"/>
    </xf>
    <xf numFmtId="0" fontId="4" fillId="2" borderId="53" xfId="0" applyFont="1" applyFill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2" fontId="1" fillId="0" borderId="32" xfId="0" applyNumberFormat="1" applyFont="1" applyBorder="1" applyAlignment="1">
      <alignment horizontal="center"/>
    </xf>
    <xf numFmtId="0" fontId="2" fillId="6" borderId="35" xfId="0" applyFont="1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2" fontId="2" fillId="6" borderId="35" xfId="0" applyNumberFormat="1" applyFont="1" applyFill="1" applyBorder="1" applyAlignment="1">
      <alignment horizontal="center"/>
    </xf>
    <xf numFmtId="2" fontId="2" fillId="6" borderId="32" xfId="0" applyNumberFormat="1" applyFont="1" applyFill="1" applyBorder="1" applyAlignment="1">
      <alignment horizontal="center"/>
    </xf>
    <xf numFmtId="0" fontId="4" fillId="2" borderId="59" xfId="0" applyFont="1" applyFill="1" applyBorder="1" applyAlignment="1">
      <alignment horizontal="center" vertical="center" wrapText="1"/>
    </xf>
    <xf numFmtId="0" fontId="2" fillId="19" borderId="32" xfId="0" applyFont="1" applyFill="1" applyBorder="1" applyAlignment="1">
      <alignment horizontal="center"/>
    </xf>
    <xf numFmtId="14" fontId="0" fillId="6" borderId="32" xfId="0" applyNumberFormat="1" applyFill="1" applyBorder="1" applyAlignment="1">
      <alignment horizontal="center"/>
    </xf>
    <xf numFmtId="14" fontId="0" fillId="6" borderId="33" xfId="0" applyNumberForma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4" fillId="6" borderId="30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29" xfId="0" applyFont="1" applyFill="1" applyBorder="1" applyAlignment="1">
      <alignment horizontal="center" vertical="center" wrapText="1"/>
    </xf>
    <xf numFmtId="0" fontId="4" fillId="6" borderId="27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31" xfId="0" applyFont="1" applyFill="1" applyBorder="1" applyAlignment="1">
      <alignment horizontal="center" vertical="center" wrapText="1"/>
    </xf>
    <xf numFmtId="0" fontId="4" fillId="6" borderId="39" xfId="0" applyFont="1" applyFill="1" applyBorder="1" applyAlignment="1">
      <alignment horizontal="center" vertical="center" wrapText="1"/>
    </xf>
    <xf numFmtId="0" fontId="4" fillId="6" borderId="26" xfId="0" applyFont="1" applyFill="1" applyBorder="1" applyAlignment="1">
      <alignment horizontal="center" vertical="center" wrapText="1"/>
    </xf>
    <xf numFmtId="0" fontId="4" fillId="6" borderId="40" xfId="0" applyFont="1" applyFill="1" applyBorder="1" applyAlignment="1">
      <alignment horizontal="center" vertical="center" wrapText="1"/>
    </xf>
    <xf numFmtId="0" fontId="4" fillId="6" borderId="89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6" fillId="19" borderId="0" xfId="0" applyFont="1" applyFill="1" applyAlignment="1">
      <alignment horizontal="center"/>
    </xf>
    <xf numFmtId="0" fontId="2" fillId="6" borderId="0" xfId="0" applyFont="1" applyFill="1" applyAlignment="1">
      <alignment horizontal="left"/>
    </xf>
    <xf numFmtId="0" fontId="2" fillId="6" borderId="0" xfId="0" applyFont="1" applyFill="1" applyAlignment="1">
      <alignment horizontal="left" vertical="center" wrapText="1"/>
    </xf>
    <xf numFmtId="0" fontId="1" fillId="6" borderId="26" xfId="0" applyFont="1" applyFill="1" applyBorder="1" applyAlignment="1">
      <alignment horizontal="left" vertical="center" wrapText="1"/>
    </xf>
    <xf numFmtId="0" fontId="1" fillId="6" borderId="32" xfId="0" applyFont="1" applyFill="1" applyBorder="1" applyAlignment="1">
      <alignment horizontal="left" vertical="center" wrapText="1"/>
    </xf>
    <xf numFmtId="0" fontId="4" fillId="19" borderId="35" xfId="0" applyFont="1" applyFill="1" applyBorder="1" applyAlignment="1">
      <alignment horizontal="center"/>
    </xf>
    <xf numFmtId="0" fontId="4" fillId="19" borderId="33" xfId="0" applyFont="1" applyFill="1" applyBorder="1" applyAlignment="1">
      <alignment horizontal="center"/>
    </xf>
    <xf numFmtId="0" fontId="4" fillId="19" borderId="32" xfId="0" applyFont="1" applyFill="1" applyBorder="1" applyAlignment="1">
      <alignment horizontal="center"/>
    </xf>
    <xf numFmtId="0" fontId="4" fillId="6" borderId="8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1" fillId="6" borderId="26" xfId="0" applyFont="1" applyFill="1" applyBorder="1" applyAlignment="1">
      <alignment horizontal="left"/>
    </xf>
    <xf numFmtId="0" fontId="1" fillId="6" borderId="32" xfId="0" applyFont="1" applyFill="1" applyBorder="1" applyAlignment="1">
      <alignment horizontal="left"/>
    </xf>
    <xf numFmtId="0" fontId="1" fillId="6" borderId="26" xfId="0" applyFont="1" applyFill="1" applyBorder="1" applyAlignment="1">
      <alignment horizontal="center"/>
    </xf>
    <xf numFmtId="0" fontId="1" fillId="6" borderId="32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2" fontId="4" fillId="16" borderId="67" xfId="0" applyNumberFormat="1" applyFont="1" applyFill="1" applyBorder="1" applyAlignment="1">
      <alignment horizontal="center"/>
    </xf>
    <xf numFmtId="2" fontId="4" fillId="16" borderId="68" xfId="0" applyNumberFormat="1" applyFont="1" applyFill="1" applyBorder="1" applyAlignment="1">
      <alignment horizontal="center"/>
    </xf>
    <xf numFmtId="0" fontId="3" fillId="6" borderId="67" xfId="0" applyFont="1" applyFill="1" applyBorder="1" applyAlignment="1">
      <alignment horizontal="center"/>
    </xf>
    <xf numFmtId="0" fontId="3" fillId="6" borderId="68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15" fontId="7" fillId="19" borderId="26" xfId="0" applyNumberFormat="1" applyFont="1" applyFill="1" applyBorder="1" applyAlignment="1">
      <alignment horizontal="center"/>
    </xf>
    <xf numFmtId="0" fontId="6" fillId="19" borderId="5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0" fontId="0" fillId="6" borderId="46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4" fillId="6" borderId="28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2" fontId="0" fillId="6" borderId="32" xfId="0" applyNumberFormat="1" applyFill="1" applyBorder="1" applyAlignment="1">
      <alignment horizontal="center"/>
    </xf>
    <xf numFmtId="2" fontId="0" fillId="6" borderId="33" xfId="0" applyNumberFormat="1" applyFill="1" applyBorder="1" applyAlignment="1">
      <alignment horizontal="center"/>
    </xf>
    <xf numFmtId="0" fontId="6" fillId="19" borderId="35" xfId="0" applyFont="1" applyFill="1" applyBorder="1" applyAlignment="1">
      <alignment horizontal="center"/>
    </xf>
    <xf numFmtId="0" fontId="6" fillId="19" borderId="32" xfId="0" applyFont="1" applyFill="1" applyBorder="1" applyAlignment="1">
      <alignment horizontal="center"/>
    </xf>
    <xf numFmtId="0" fontId="6" fillId="19" borderId="33" xfId="0" applyFont="1" applyFill="1" applyBorder="1" applyAlignment="1">
      <alignment horizontal="center"/>
    </xf>
    <xf numFmtId="0" fontId="18" fillId="0" borderId="82" xfId="2" applyFont="1" applyBorder="1" applyAlignment="1">
      <alignment horizontal="left" vertical="center"/>
    </xf>
    <xf numFmtId="0" fontId="30" fillId="0" borderId="82" xfId="2" applyFont="1" applyBorder="1" applyAlignment="1">
      <alignment horizontal="right" vertical="center" wrapText="1"/>
    </xf>
    <xf numFmtId="0" fontId="32" fillId="26" borderId="84" xfId="2" applyFont="1" applyFill="1" applyBorder="1" applyAlignment="1">
      <alignment horizontal="left" vertical="center" wrapText="1" indent="1"/>
    </xf>
    <xf numFmtId="0" fontId="32" fillId="26" borderId="85" xfId="2" applyFont="1" applyFill="1" applyBorder="1" applyAlignment="1">
      <alignment horizontal="left" vertical="center" wrapText="1" indent="1"/>
    </xf>
    <xf numFmtId="0" fontId="32" fillId="26" borderId="86" xfId="2" applyFont="1" applyFill="1" applyBorder="1" applyAlignment="1">
      <alignment horizontal="left" vertical="center" wrapText="1" indent="1"/>
    </xf>
    <xf numFmtId="0" fontId="16" fillId="6" borderId="84" xfId="2" applyFont="1" applyFill="1" applyBorder="1" applyAlignment="1">
      <alignment horizontal="left" vertical="center" wrapText="1" indent="1"/>
    </xf>
    <xf numFmtId="0" fontId="16" fillId="6" borderId="85" xfId="2" applyFont="1" applyFill="1" applyBorder="1" applyAlignment="1">
      <alignment horizontal="left" vertical="center" wrapText="1" indent="1"/>
    </xf>
    <xf numFmtId="0" fontId="16" fillId="6" borderId="86" xfId="2" applyFont="1" applyFill="1" applyBorder="1" applyAlignment="1">
      <alignment horizontal="left" vertical="center" wrapText="1" indent="1"/>
    </xf>
    <xf numFmtId="0" fontId="17" fillId="6" borderId="0" xfId="2" applyFont="1" applyFill="1" applyAlignment="1">
      <alignment horizontal="left" vertical="center" wrapText="1"/>
    </xf>
    <xf numFmtId="0" fontId="18" fillId="0" borderId="0" xfId="2" applyFont="1" applyAlignment="1">
      <alignment horizontal="left" vertical="center" wrapText="1"/>
    </xf>
    <xf numFmtId="0" fontId="18" fillId="0" borderId="0" xfId="2" applyFont="1" applyAlignment="1">
      <alignment horizontal="left" vertical="center"/>
    </xf>
    <xf numFmtId="0" fontId="25" fillId="20" borderId="79" xfId="2" applyFont="1" applyFill="1" applyBorder="1" applyAlignment="1">
      <alignment horizontal="center" vertical="center" wrapText="1"/>
    </xf>
    <xf numFmtId="0" fontId="24" fillId="20" borderId="77" xfId="2" applyFont="1" applyFill="1" applyBorder="1" applyAlignment="1">
      <alignment horizontal="right" vertical="center" wrapText="1" indent="1"/>
    </xf>
    <xf numFmtId="0" fontId="28" fillId="20" borderId="0" xfId="2" applyFont="1" applyFill="1" applyAlignment="1">
      <alignment horizontal="center" vertical="top"/>
    </xf>
    <xf numFmtId="2" fontId="4" fillId="6" borderId="67" xfId="0" applyNumberFormat="1" applyFont="1" applyFill="1" applyBorder="1" applyAlignment="1">
      <alignment horizontal="center"/>
    </xf>
    <xf numFmtId="2" fontId="4" fillId="6" borderId="68" xfId="0" applyNumberFormat="1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0" fontId="2" fillId="7" borderId="23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0" fontId="1" fillId="0" borderId="34" xfId="0" applyFont="1" applyBorder="1" applyAlignment="1">
      <alignment horizontal="center"/>
    </xf>
    <xf numFmtId="0" fontId="0" fillId="0" borderId="34" xfId="0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2" fillId="0" borderId="32" xfId="0" applyFont="1" applyBorder="1" applyAlignment="1">
      <alignment horizontal="left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2" fontId="2" fillId="0" borderId="34" xfId="0" applyNumberFormat="1" applyFont="1" applyBorder="1" applyAlignment="1">
      <alignment horizontal="left"/>
    </xf>
    <xf numFmtId="0" fontId="2" fillId="9" borderId="34" xfId="0" applyFont="1" applyFill="1" applyBorder="1" applyAlignment="1">
      <alignment horizontal="center"/>
    </xf>
    <xf numFmtId="2" fontId="1" fillId="0" borderId="34" xfId="0" applyNumberFormat="1" applyFont="1" applyBorder="1" applyAlignment="1">
      <alignment horizontal="left"/>
    </xf>
    <xf numFmtId="2" fontId="1" fillId="0" borderId="43" xfId="0" applyNumberFormat="1" applyFont="1" applyBorder="1" applyAlignment="1">
      <alignment horizontal="left"/>
    </xf>
    <xf numFmtId="0" fontId="2" fillId="11" borderId="35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2" fillId="11" borderId="35" xfId="0" applyFont="1" applyFill="1" applyBorder="1" applyAlignment="1">
      <alignment horizontal="center" vertical="center" wrapText="1"/>
    </xf>
    <xf numFmtId="0" fontId="2" fillId="11" borderId="32" xfId="0" applyFont="1" applyFill="1" applyBorder="1" applyAlignment="1">
      <alignment horizontal="center" vertical="center" wrapText="1"/>
    </xf>
    <xf numFmtId="0" fontId="2" fillId="11" borderId="3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2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31" xfId="0" applyFont="1" applyBorder="1" applyAlignment="1">
      <alignment vertical="center" wrapText="1"/>
    </xf>
    <xf numFmtId="0" fontId="2" fillId="8" borderId="35" xfId="0" applyFont="1" applyFill="1" applyBorder="1" applyAlignment="1">
      <alignment horizontal="center"/>
    </xf>
    <xf numFmtId="0" fontId="2" fillId="8" borderId="32" xfId="0" applyFont="1" applyFill="1" applyBorder="1" applyAlignment="1">
      <alignment horizontal="center"/>
    </xf>
    <xf numFmtId="0" fontId="2" fillId="8" borderId="33" xfId="0" applyFont="1" applyFill="1" applyBorder="1" applyAlignment="1">
      <alignment horizontal="center"/>
    </xf>
    <xf numFmtId="0" fontId="1" fillId="0" borderId="35" xfId="0" applyFont="1" applyBorder="1" applyAlignment="1">
      <alignment horizontal="left"/>
    </xf>
    <xf numFmtId="0" fontId="1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/>
    </xf>
    <xf numFmtId="0" fontId="2" fillId="8" borderId="34" xfId="0" applyFont="1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1" fillId="0" borderId="27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31" xfId="0" applyFont="1" applyBorder="1" applyAlignment="1">
      <alignment horizontal="left" vertical="center" wrapText="1"/>
    </xf>
    <xf numFmtId="0" fontId="2" fillId="10" borderId="53" xfId="0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1" fillId="10" borderId="35" xfId="0" applyFont="1" applyFill="1" applyBorder="1" applyAlignment="1">
      <alignment horizontal="center"/>
    </xf>
    <xf numFmtId="0" fontId="0" fillId="10" borderId="32" xfId="0" applyFill="1" applyBorder="1" applyAlignment="1">
      <alignment horizontal="center"/>
    </xf>
    <xf numFmtId="0" fontId="0" fillId="0" borderId="34" xfId="0" applyBorder="1" applyAlignment="1">
      <alignment horizontal="left"/>
    </xf>
    <xf numFmtId="0" fontId="2" fillId="0" borderId="2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12" borderId="35" xfId="0" applyFont="1" applyFill="1" applyBorder="1" applyAlignment="1">
      <alignment horizontal="center"/>
    </xf>
    <xf numFmtId="0" fontId="2" fillId="12" borderId="32" xfId="0" applyFont="1" applyFill="1" applyBorder="1" applyAlignment="1">
      <alignment horizontal="center"/>
    </xf>
    <xf numFmtId="0" fontId="2" fillId="12" borderId="33" xfId="0" applyFont="1" applyFill="1" applyBorder="1" applyAlignment="1">
      <alignment horizontal="center"/>
    </xf>
    <xf numFmtId="0" fontId="10" fillId="0" borderId="34" xfId="0" applyFont="1" applyBorder="1" applyAlignment="1">
      <alignment horizontal="left" vertical="center"/>
    </xf>
    <xf numFmtId="0" fontId="2" fillId="9" borderId="35" xfId="0" applyFont="1" applyFill="1" applyBorder="1" applyAlignment="1">
      <alignment horizontal="center"/>
    </xf>
    <xf numFmtId="0" fontId="2" fillId="9" borderId="33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2" fillId="9" borderId="32" xfId="0" applyFont="1" applyFill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0" borderId="33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4" fillId="41" borderId="23" xfId="0" applyFont="1" applyFill="1" applyBorder="1" applyAlignment="1">
      <alignment horizontal="center" vertical="center" wrapText="1"/>
    </xf>
    <xf numFmtId="0" fontId="4" fillId="40" borderId="21" xfId="0" applyFont="1" applyFill="1" applyBorder="1" applyAlignment="1">
      <alignment horizontal="center" vertical="center" wrapText="1"/>
    </xf>
    <xf numFmtId="0" fontId="4" fillId="42" borderId="21" xfId="0" applyFont="1" applyFill="1" applyBorder="1" applyAlignment="1">
      <alignment horizontal="center" vertical="center" wrapText="1"/>
    </xf>
    <xf numFmtId="0" fontId="4" fillId="41" borderId="20" xfId="0" applyFont="1" applyFill="1" applyBorder="1" applyAlignment="1">
      <alignment horizontal="center" vertical="center" wrapText="1"/>
    </xf>
  </cellXfs>
  <cellStyles count="5">
    <cellStyle name="Hipervínculo" xfId="1" builtinId="8"/>
    <cellStyle name="Hipervínculo 2" xfId="4" xr:uid="{FE8FDFD1-ACAD-4DF8-9F92-D7EF5DB980F7}"/>
    <cellStyle name="Normal" xfId="0" builtinId="0"/>
    <cellStyle name="Normal 2" xfId="2" xr:uid="{B0B9E694-EE97-4125-89F9-27F998A12F93}"/>
    <cellStyle name="Porcentaje 2" xfId="3" xr:uid="{BBD98910-A65C-4556-9F0A-3C0648265F9D}"/>
  </cellStyles>
  <dxfs count="33">
    <dxf>
      <font>
        <color auto="1"/>
      </font>
      <fill>
        <patternFill patternType="solid">
          <bgColor rgb="FF4FE3CF"/>
        </patternFill>
      </fill>
    </dxf>
    <dxf>
      <font>
        <color auto="1"/>
      </font>
      <fill>
        <patternFill patternType="solid">
          <bgColor rgb="FFB5ED46"/>
        </patternFill>
      </fill>
    </dxf>
    <dxf>
      <font>
        <color auto="1"/>
      </font>
      <fill>
        <patternFill patternType="solid">
          <bgColor rgb="FFFFD700"/>
        </patternFill>
      </fill>
    </dxf>
    <dxf>
      <font>
        <color auto="1"/>
      </font>
      <fill>
        <patternFill patternType="solid">
          <bgColor rgb="FFFFA1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7F9FA"/>
        </patternFill>
      </fill>
    </dxf>
    <dxf>
      <font>
        <color auto="1"/>
      </font>
      <fill>
        <patternFill patternType="solid">
          <bgColor rgb="FFE7EBF2"/>
        </patternFill>
      </fill>
    </dxf>
    <dxf>
      <font>
        <color auto="1"/>
      </font>
      <numFmt numFmtId="0" formatCode="General"/>
      <fill>
        <patternFill patternType="solid">
          <bgColor rgb="FFD1D7E1"/>
        </patternFill>
      </fill>
    </dxf>
    <dxf>
      <font>
        <color auto="1"/>
      </font>
      <fill>
        <patternFill patternType="solid">
          <bgColor rgb="FFBAC1CA"/>
        </patternFill>
      </fill>
    </dxf>
    <dxf>
      <font>
        <color auto="1"/>
      </font>
      <fill>
        <patternFill patternType="solid">
          <bgColor rgb="FFA2B1C3"/>
        </patternFill>
      </fill>
    </dxf>
    <dxf>
      <font>
        <color auto="1"/>
      </font>
      <fill>
        <patternFill patternType="solid">
          <bgColor rgb="FFFFF1C5"/>
        </patternFill>
      </fill>
    </dxf>
    <dxf>
      <font>
        <color auto="1"/>
      </font>
      <fill>
        <patternFill patternType="solid">
          <bgColor rgb="FFFFE38E"/>
        </patternFill>
      </fill>
    </dxf>
    <dxf>
      <font>
        <color auto="1"/>
      </font>
      <numFmt numFmtId="0" formatCode="General"/>
      <fill>
        <patternFill patternType="solid">
          <bgColor rgb="FFFFD45B"/>
        </patternFill>
      </fill>
    </dxf>
    <dxf>
      <font>
        <color auto="1"/>
      </font>
      <fill>
        <patternFill patternType="solid">
          <bgColor rgb="FFFFB800"/>
        </patternFill>
      </fill>
    </dxf>
    <dxf>
      <font>
        <color auto="1"/>
      </font>
      <fill>
        <patternFill patternType="solid">
          <bgColor rgb="FFE0A100"/>
        </patternFill>
      </fill>
    </dxf>
    <dxf>
      <font>
        <color auto="1"/>
      </font>
      <fill>
        <patternFill patternType="solid">
          <bgColor rgb="FF4FE3CF"/>
        </patternFill>
      </fill>
    </dxf>
    <dxf>
      <font>
        <color auto="1"/>
      </font>
      <fill>
        <patternFill patternType="solid">
          <bgColor rgb="FFB5ED46"/>
        </patternFill>
      </fill>
    </dxf>
    <dxf>
      <font>
        <color auto="1"/>
      </font>
      <fill>
        <patternFill patternType="solid">
          <bgColor rgb="FFFFD700"/>
        </patternFill>
      </fill>
    </dxf>
    <dxf>
      <font>
        <color auto="1"/>
      </font>
      <fill>
        <patternFill patternType="solid">
          <bgColor rgb="FFFFA1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7F9FA"/>
        </patternFill>
      </fill>
    </dxf>
    <dxf>
      <font>
        <color auto="1"/>
      </font>
      <fill>
        <patternFill patternType="solid">
          <bgColor rgb="FFE7EBF2"/>
        </patternFill>
      </fill>
    </dxf>
    <dxf>
      <font>
        <color auto="1"/>
      </font>
      <numFmt numFmtId="0" formatCode="General"/>
      <fill>
        <patternFill patternType="solid">
          <bgColor rgb="FFD1D7E1"/>
        </patternFill>
      </fill>
    </dxf>
    <dxf>
      <font>
        <color auto="1"/>
      </font>
      <fill>
        <patternFill patternType="solid">
          <bgColor rgb="FFBAC1CA"/>
        </patternFill>
      </fill>
    </dxf>
    <dxf>
      <font>
        <color auto="1"/>
      </font>
      <fill>
        <patternFill patternType="solid">
          <bgColor rgb="FFA2B1C3"/>
        </patternFill>
      </fill>
    </dxf>
    <dxf>
      <font>
        <color auto="1"/>
      </font>
      <fill>
        <patternFill patternType="solid">
          <bgColor rgb="FFFFF1C5"/>
        </patternFill>
      </fill>
    </dxf>
    <dxf>
      <font>
        <color auto="1"/>
      </font>
      <fill>
        <patternFill patternType="solid">
          <bgColor rgb="FFFFE38E"/>
        </patternFill>
      </fill>
    </dxf>
    <dxf>
      <font>
        <color auto="1"/>
      </font>
      <numFmt numFmtId="0" formatCode="General"/>
      <fill>
        <patternFill patternType="solid">
          <bgColor rgb="FFFFD45B"/>
        </patternFill>
      </fill>
    </dxf>
    <dxf>
      <font>
        <color auto="1"/>
      </font>
      <fill>
        <patternFill patternType="solid">
          <bgColor rgb="FFFFB800"/>
        </patternFill>
      </fill>
    </dxf>
    <dxf>
      <font>
        <color auto="1"/>
      </font>
      <fill>
        <patternFill patternType="solid">
          <bgColor rgb="FFE0A100"/>
        </patternFill>
      </fill>
    </dxf>
    <dxf>
      <font>
        <color theme="1"/>
      </font>
      <fill>
        <patternFill patternType="solid">
          <bgColor rgb="FF2DE9EF"/>
        </patternFill>
      </fill>
    </dxf>
    <dxf>
      <fill>
        <patternFill patternType="solid">
          <bgColor rgb="FFAAF9FA"/>
        </patternFill>
      </fill>
    </dxf>
    <dxf>
      <fill>
        <patternFill patternType="solid">
          <bgColor rgb="FFDBFAF8"/>
        </patternFill>
      </fill>
    </dxf>
  </dxfs>
  <tableStyles count="0" defaultTableStyle="TableStyleMedium2" defaultPivotStyle="PivotStyleLight16"/>
  <colors>
    <mruColors>
      <color rgb="FF60FF21"/>
      <color rgb="FF2CF45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0</xdr:row>
      <xdr:rowOff>381000</xdr:rowOff>
    </xdr:from>
    <xdr:to>
      <xdr:col>11</xdr:col>
      <xdr:colOff>812800</xdr:colOff>
      <xdr:row>1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612795-E171-4458-97A3-ECD0B15B017C}"/>
            </a:ext>
          </a:extLst>
        </xdr:cNvPr>
        <xdr:cNvSpPr txBox="1"/>
      </xdr:nvSpPr>
      <xdr:spPr>
        <a:xfrm>
          <a:off x="6330950" y="381000"/>
          <a:ext cx="4140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PROBABILIDAD</a:t>
          </a:r>
        </a:p>
      </xdr:txBody>
    </xdr:sp>
    <xdr:clientData/>
  </xdr:twoCellAnchor>
  <xdr:twoCellAnchor>
    <xdr:from>
      <xdr:col>5</xdr:col>
      <xdr:colOff>88900</xdr:colOff>
      <xdr:row>2</xdr:row>
      <xdr:rowOff>0</xdr:rowOff>
    </xdr:from>
    <xdr:to>
      <xdr:col>6</xdr:col>
      <xdr:colOff>25400</xdr:colOff>
      <xdr:row>6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B5701C-D5D5-4600-9700-B86CF1DFF8C2}"/>
            </a:ext>
          </a:extLst>
        </xdr:cNvPr>
        <xdr:cNvSpPr txBox="1"/>
      </xdr:nvSpPr>
      <xdr:spPr>
        <a:xfrm rot="16200000">
          <a:off x="5172075" y="1508125"/>
          <a:ext cx="15621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IMPACTO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2</xdr:row>
      <xdr:rowOff>114300</xdr:rowOff>
    </xdr:from>
    <xdr:to>
      <xdr:col>8</xdr:col>
      <xdr:colOff>812800</xdr:colOff>
      <xdr:row>2</xdr:row>
      <xdr:rowOff>381000</xdr:rowOff>
    </xdr:to>
    <xdr:sp macro="" textlink="">
      <xdr:nvSpPr>
        <xdr:cNvPr id="2" name="TextBox 6">
          <a:extLst>
            <a:ext uri="{FF2B5EF4-FFF2-40B4-BE49-F238E27FC236}">
              <a16:creationId xmlns:a16="http://schemas.microsoft.com/office/drawing/2014/main" id="{F60FDB14-EDA0-4193-A3F1-7C259C573322}"/>
            </a:ext>
          </a:extLst>
        </xdr:cNvPr>
        <xdr:cNvSpPr txBox="1"/>
      </xdr:nvSpPr>
      <xdr:spPr>
        <a:xfrm>
          <a:off x="5454650" y="1485900"/>
          <a:ext cx="63500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PROBABILIDAD</a:t>
          </a:r>
        </a:p>
      </xdr:txBody>
    </xdr:sp>
    <xdr:clientData/>
  </xdr:twoCellAnchor>
  <xdr:twoCellAnchor>
    <xdr:from>
      <xdr:col>3</xdr:col>
      <xdr:colOff>2311400</xdr:colOff>
      <xdr:row>3</xdr:row>
      <xdr:rowOff>0</xdr:rowOff>
    </xdr:from>
    <xdr:to>
      <xdr:col>3</xdr:col>
      <xdr:colOff>2654300</xdr:colOff>
      <xdr:row>7</xdr:row>
      <xdr:rowOff>304800</xdr:rowOff>
    </xdr:to>
    <xdr:sp macro="" textlink="">
      <xdr:nvSpPr>
        <xdr:cNvPr id="3" name="TextBox 7">
          <a:extLst>
            <a:ext uri="{FF2B5EF4-FFF2-40B4-BE49-F238E27FC236}">
              <a16:creationId xmlns:a16="http://schemas.microsoft.com/office/drawing/2014/main" id="{7DD9E761-AE27-4882-AC73-C8FE8CB8775D}"/>
            </a:ext>
          </a:extLst>
        </xdr:cNvPr>
        <xdr:cNvSpPr txBox="1"/>
      </xdr:nvSpPr>
      <xdr:spPr>
        <a:xfrm rot="16200000">
          <a:off x="3311525" y="3238500"/>
          <a:ext cx="28194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IMPACTO</a:t>
          </a:r>
        </a:p>
      </xdr:txBody>
    </xdr:sp>
    <xdr:clientData/>
  </xdr:twoCellAnchor>
  <xdr:twoCellAnchor>
    <xdr:from>
      <xdr:col>1</xdr:col>
      <xdr:colOff>342900</xdr:colOff>
      <xdr:row>3</xdr:row>
      <xdr:rowOff>152400</xdr:rowOff>
    </xdr:from>
    <xdr:to>
      <xdr:col>3</xdr:col>
      <xdr:colOff>1917700</xdr:colOff>
      <xdr:row>7</xdr:row>
      <xdr:rowOff>609600</xdr:rowOff>
    </xdr:to>
    <xdr:sp macro="" textlink="">
      <xdr:nvSpPr>
        <xdr:cNvPr id="4" name="TextBox 10">
          <a:extLst>
            <a:ext uri="{FF2B5EF4-FFF2-40B4-BE49-F238E27FC236}">
              <a16:creationId xmlns:a16="http://schemas.microsoft.com/office/drawing/2014/main" id="{3CF8EE28-C49D-4C77-9D77-498EEF6A1A58}"/>
            </a:ext>
          </a:extLst>
        </xdr:cNvPr>
        <xdr:cNvSpPr txBox="1"/>
      </xdr:nvSpPr>
      <xdr:spPr>
        <a:xfrm>
          <a:off x="600075" y="2152650"/>
          <a:ext cx="3556000" cy="297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0"/>
          <a:r>
            <a:rPr lang="en-US" sz="380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</a:rPr>
            <a:t>MAPA DE CALOR DE GRAVEDAD DEL RIESGO</a:t>
          </a:r>
        </a:p>
      </xdr:txBody>
    </xdr:sp>
    <xdr:clientData/>
  </xdr:twoCellAnchor>
  <xdr:twoCellAnchor editAs="oneCell">
    <xdr:from>
      <xdr:col>1</xdr:col>
      <xdr:colOff>619125</xdr:colOff>
      <xdr:row>7</xdr:row>
      <xdr:rowOff>361950</xdr:rowOff>
    </xdr:from>
    <xdr:to>
      <xdr:col>3</xdr:col>
      <xdr:colOff>2133600</xdr:colOff>
      <xdr:row>15</xdr:row>
      <xdr:rowOff>142875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B86441A-5060-A7E2-BA2E-BC9F9688C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4876800"/>
          <a:ext cx="3495675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2</xdr:row>
      <xdr:rowOff>114300</xdr:rowOff>
    </xdr:from>
    <xdr:to>
      <xdr:col>8</xdr:col>
      <xdr:colOff>812800</xdr:colOff>
      <xdr:row>2</xdr:row>
      <xdr:rowOff>381000</xdr:rowOff>
    </xdr:to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9ED3A5A3-4343-43BF-B8F1-495DE18548DD}"/>
            </a:ext>
          </a:extLst>
        </xdr:cNvPr>
        <xdr:cNvSpPr txBox="1"/>
      </xdr:nvSpPr>
      <xdr:spPr>
        <a:xfrm>
          <a:off x="3378200" y="514350"/>
          <a:ext cx="4140200" cy="85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PROBABILIDAD</a:t>
          </a:r>
        </a:p>
      </xdr:txBody>
    </xdr:sp>
    <xdr:clientData/>
  </xdr:twoCellAnchor>
  <xdr:twoCellAnchor>
    <xdr:from>
      <xdr:col>3</xdr:col>
      <xdr:colOff>2311400</xdr:colOff>
      <xdr:row>3</xdr:row>
      <xdr:rowOff>0</xdr:rowOff>
    </xdr:from>
    <xdr:to>
      <xdr:col>3</xdr:col>
      <xdr:colOff>2654300</xdr:colOff>
      <xdr:row>7</xdr:row>
      <xdr:rowOff>304800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47797CF6-68F2-4DFE-B157-0DF67A7026A7}"/>
            </a:ext>
          </a:extLst>
        </xdr:cNvPr>
        <xdr:cNvSpPr txBox="1"/>
      </xdr:nvSpPr>
      <xdr:spPr>
        <a:xfrm rot="16200000">
          <a:off x="2849562" y="1100138"/>
          <a:ext cx="100012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/>
          <a:r>
            <a:rPr lang="en-US" sz="1400">
              <a:latin typeface="Century Gothic" panose="020B0502020202020204" pitchFamily="34" charset="0"/>
            </a:rPr>
            <a:t>IMPACTO</a:t>
          </a:r>
        </a:p>
      </xdr:txBody>
    </xdr:sp>
    <xdr:clientData/>
  </xdr:twoCellAnchor>
  <xdr:twoCellAnchor>
    <xdr:from>
      <xdr:col>1</xdr:col>
      <xdr:colOff>342900</xdr:colOff>
      <xdr:row>3</xdr:row>
      <xdr:rowOff>152400</xdr:rowOff>
    </xdr:from>
    <xdr:to>
      <xdr:col>3</xdr:col>
      <xdr:colOff>1917700</xdr:colOff>
      <xdr:row>7</xdr:row>
      <xdr:rowOff>609600</xdr:rowOff>
    </xdr:to>
    <xdr:sp macro="" textlink="">
      <xdr:nvSpPr>
        <xdr:cNvPr id="4" name="TextBox 5">
          <a:extLst>
            <a:ext uri="{FF2B5EF4-FFF2-40B4-BE49-F238E27FC236}">
              <a16:creationId xmlns:a16="http://schemas.microsoft.com/office/drawing/2014/main" id="{DEE9D76E-DA53-493B-9BA1-FC37340FDFA2}"/>
            </a:ext>
          </a:extLst>
        </xdr:cNvPr>
        <xdr:cNvSpPr txBox="1"/>
      </xdr:nvSpPr>
      <xdr:spPr>
        <a:xfrm>
          <a:off x="1181100" y="752475"/>
          <a:ext cx="2174875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0"/>
          <a:r>
            <a:rPr lang="en-US" sz="380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</a:rPr>
            <a:t>MAPA DE CALOR DE GRAVEDAD DEL RIESGO</a:t>
          </a:r>
        </a:p>
      </xdr:txBody>
    </xdr:sp>
    <xdr:clientData/>
  </xdr:twoCellAnchor>
  <xdr:oneCellAnchor>
    <xdr:from>
      <xdr:col>1</xdr:col>
      <xdr:colOff>533400</xdr:colOff>
      <xdr:row>9</xdr:row>
      <xdr:rowOff>0</xdr:rowOff>
    </xdr:from>
    <xdr:ext cx="3495675" cy="1895475"/>
    <xdr:pic>
      <xdr:nvPicPr>
        <xdr:cNvPr id="5" name="Picture 1">
          <a:extLst>
            <a:ext uri="{FF2B5EF4-FFF2-40B4-BE49-F238E27FC236}">
              <a16:creationId xmlns:a16="http://schemas.microsoft.com/office/drawing/2014/main" id="{8AA45194-E6F4-4276-9140-25FB2D6D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71600" y="1800225"/>
          <a:ext cx="3495675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D5280-5EE4-429A-86C6-0CC40EDA2583}">
  <sheetPr codeName="Hoja2"/>
  <dimension ref="A1:BA31"/>
  <sheetViews>
    <sheetView tabSelected="1" zoomScale="106" zoomScaleNormal="106" workbookViewId="0">
      <pane ySplit="18" topLeftCell="A19" activePane="bottomLeft" state="frozenSplit"/>
      <selection activeCell="F1" sqref="F1"/>
      <selection pane="bottomLeft" activeCell="R34" sqref="R34"/>
    </sheetView>
  </sheetViews>
  <sheetFormatPr baseColWidth="10" defaultRowHeight="12.75" x14ac:dyDescent="0.2"/>
  <cols>
    <col min="1" max="1" width="1.42578125" style="170" customWidth="1"/>
    <col min="2" max="2" width="6.5703125" customWidth="1"/>
    <col min="3" max="3" width="10.42578125" customWidth="1"/>
    <col min="4" max="4" width="9.5703125" style="7" customWidth="1"/>
    <col min="5" max="5" width="5.7109375" customWidth="1"/>
    <col min="6" max="6" width="16.5703125" customWidth="1"/>
    <col min="7" max="7" width="9.140625" customWidth="1"/>
    <col min="8" max="8" width="6.5703125" style="17" customWidth="1"/>
    <col min="9" max="9" width="4.7109375" customWidth="1"/>
    <col min="10" max="10" width="5.85546875" customWidth="1"/>
    <col min="11" max="11" width="9.42578125" style="10" customWidth="1"/>
    <col min="12" max="12" width="6.42578125" customWidth="1"/>
    <col min="13" max="13" width="4" style="10" customWidth="1"/>
    <col min="14" max="14" width="10.42578125" style="7" customWidth="1"/>
    <col min="15" max="15" width="3.7109375" style="10" customWidth="1"/>
    <col min="16" max="16" width="12.28515625" style="10" customWidth="1"/>
    <col min="17" max="17" width="9.42578125" style="10" customWidth="1"/>
    <col min="18" max="18" width="11.28515625" style="10" customWidth="1"/>
    <col min="19" max="19" width="7.140625" style="7" customWidth="1"/>
    <col min="20" max="20" width="11.5703125" style="10" customWidth="1"/>
    <col min="21" max="21" width="6.42578125" style="10" customWidth="1"/>
    <col min="22" max="22" width="11.7109375" style="10" customWidth="1"/>
    <col min="23" max="23" width="7.28515625" style="4" customWidth="1"/>
    <col min="24" max="24" width="10.5703125" customWidth="1"/>
    <col min="25" max="25" width="12.5703125" customWidth="1"/>
    <col min="26" max="26" width="9.140625" customWidth="1"/>
    <col min="27" max="27" width="5.5703125" customWidth="1"/>
    <col min="28" max="28" width="8" style="3" customWidth="1"/>
    <col min="29" max="29" width="7.28515625" customWidth="1"/>
    <col min="30" max="30" width="5.28515625" customWidth="1"/>
    <col min="31" max="31" width="11.7109375" style="10" customWidth="1"/>
    <col min="32" max="32" width="27.42578125" customWidth="1"/>
    <col min="33" max="33" width="10.28515625" style="60" customWidth="1"/>
    <col min="34" max="34" width="5.42578125" style="400" customWidth="1"/>
    <col min="35" max="35" width="5.140625" style="170" customWidth="1"/>
    <col min="36" max="49" width="11.42578125" style="170"/>
  </cols>
  <sheetData>
    <row r="1" spans="2:53" ht="39.75" customHeight="1" thickBot="1" x14ac:dyDescent="0.25">
      <c r="B1" s="385" t="s">
        <v>3</v>
      </c>
      <c r="C1" s="385"/>
      <c r="D1" s="58">
        <v>1</v>
      </c>
      <c r="E1" s="385" t="s">
        <v>4</v>
      </c>
      <c r="F1" s="385"/>
      <c r="G1" s="407">
        <v>45778</v>
      </c>
      <c r="H1" s="407"/>
      <c r="I1" s="407"/>
      <c r="J1" s="407"/>
      <c r="K1" s="56"/>
      <c r="L1" s="56"/>
      <c r="M1" s="56"/>
      <c r="N1" s="56" t="s">
        <v>0</v>
      </c>
      <c r="O1" s="56"/>
      <c r="P1" s="56"/>
      <c r="Q1" s="56"/>
      <c r="R1" s="56"/>
      <c r="S1" s="56"/>
      <c r="T1" s="56"/>
      <c r="U1" s="249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9"/>
      <c r="AX1" s="170"/>
      <c r="AY1" s="170"/>
      <c r="AZ1" s="170"/>
      <c r="BA1" s="170"/>
    </row>
    <row r="2" spans="2:53" ht="19.5" customHeight="1" thickBot="1" x14ac:dyDescent="0.25">
      <c r="B2" s="386" t="s">
        <v>59</v>
      </c>
      <c r="C2" s="386"/>
      <c r="D2" s="386"/>
      <c r="E2" s="396" t="s">
        <v>294</v>
      </c>
      <c r="F2" s="396"/>
      <c r="G2" s="396"/>
      <c r="H2" s="396"/>
      <c r="I2" s="396"/>
      <c r="J2" s="396"/>
      <c r="K2" s="396"/>
      <c r="L2" s="386" t="s">
        <v>2</v>
      </c>
      <c r="M2" s="386"/>
      <c r="N2" s="386"/>
      <c r="O2" s="398" t="s">
        <v>295</v>
      </c>
      <c r="P2" s="398"/>
      <c r="Q2" s="398"/>
      <c r="R2" s="398"/>
      <c r="S2" s="398"/>
      <c r="T2" s="398"/>
      <c r="U2" s="171"/>
      <c r="V2" s="171"/>
      <c r="W2" s="172"/>
      <c r="X2" s="170"/>
      <c r="Y2" s="170"/>
      <c r="Z2" s="170"/>
      <c r="AA2" s="170"/>
      <c r="AB2" s="173"/>
      <c r="AC2" s="170"/>
      <c r="AD2" s="170"/>
      <c r="AE2" s="171"/>
      <c r="AF2" s="170"/>
      <c r="AG2" s="174"/>
      <c r="AX2" s="170"/>
      <c r="AY2" s="170"/>
      <c r="AZ2" s="170"/>
      <c r="BA2" s="170"/>
    </row>
    <row r="3" spans="2:53" ht="13.5" thickBot="1" x14ac:dyDescent="0.25">
      <c r="B3" s="386" t="s">
        <v>60</v>
      </c>
      <c r="C3" s="386"/>
      <c r="D3" s="386"/>
      <c r="E3" s="397" t="s">
        <v>61</v>
      </c>
      <c r="F3" s="397"/>
      <c r="G3" s="397"/>
      <c r="H3" s="397"/>
      <c r="I3" s="397"/>
      <c r="J3" s="397"/>
      <c r="K3" s="397"/>
      <c r="L3" s="386" t="s">
        <v>62</v>
      </c>
      <c r="M3" s="386"/>
      <c r="N3" s="386"/>
      <c r="O3" s="399" t="s">
        <v>63</v>
      </c>
      <c r="P3" s="399"/>
      <c r="Q3" s="399"/>
      <c r="R3" s="399"/>
      <c r="S3" s="399"/>
      <c r="T3" s="399"/>
      <c r="U3" s="175" t="s">
        <v>1</v>
      </c>
      <c r="V3" s="176"/>
      <c r="W3" s="176"/>
      <c r="X3" s="176"/>
      <c r="Y3" s="176"/>
      <c r="Z3" s="176"/>
      <c r="AA3" s="176"/>
      <c r="AB3" s="177"/>
      <c r="AC3" s="170"/>
      <c r="AD3" s="170"/>
      <c r="AE3" s="171"/>
      <c r="AF3" s="170"/>
      <c r="AG3" s="174"/>
      <c r="AX3" s="170"/>
      <c r="AY3" s="170"/>
      <c r="AZ3" s="170"/>
      <c r="BA3" s="170"/>
    </row>
    <row r="4" spans="2:53" ht="13.5" customHeight="1" thickBot="1" x14ac:dyDescent="0.25">
      <c r="B4" s="387" t="s">
        <v>64</v>
      </c>
      <c r="C4" s="387"/>
      <c r="D4" s="387"/>
      <c r="E4" s="388" t="s">
        <v>65</v>
      </c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171"/>
      <c r="V4" s="171"/>
      <c r="W4" s="172"/>
      <c r="X4" s="170"/>
      <c r="Y4" s="170"/>
      <c r="Z4" s="170"/>
      <c r="AA4" s="170"/>
      <c r="AB4" s="173"/>
      <c r="AC4" s="170"/>
      <c r="AD4" s="170"/>
      <c r="AE4" s="171"/>
      <c r="AF4" s="170"/>
      <c r="AG4" s="174"/>
      <c r="AX4" s="170"/>
      <c r="AY4" s="170"/>
      <c r="AZ4" s="170"/>
      <c r="BA4" s="170"/>
    </row>
    <row r="5" spans="2:53" ht="7.5" customHeight="1" thickBot="1" x14ac:dyDescent="0.25">
      <c r="B5" s="170"/>
      <c r="C5" s="170"/>
      <c r="D5" s="178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171"/>
      <c r="V5" s="171"/>
      <c r="W5" s="170"/>
      <c r="X5" s="172"/>
      <c r="Y5" s="170"/>
      <c r="Z5" s="170"/>
      <c r="AA5" s="170"/>
      <c r="AB5" s="173"/>
      <c r="AC5" s="170"/>
      <c r="AD5" s="170"/>
      <c r="AE5" s="171"/>
      <c r="AF5" s="170"/>
      <c r="AG5" s="174"/>
      <c r="AX5" s="170"/>
      <c r="AY5" s="170"/>
      <c r="AZ5" s="170"/>
      <c r="BA5" s="170"/>
    </row>
    <row r="6" spans="2:53" ht="15" customHeight="1" thickBot="1" x14ac:dyDescent="0.25">
      <c r="B6" s="417" t="s">
        <v>274</v>
      </c>
      <c r="C6" s="418"/>
      <c r="D6" s="418"/>
      <c r="E6" s="418"/>
      <c r="F6" s="418"/>
      <c r="G6" s="418"/>
      <c r="H6" s="419"/>
      <c r="I6" s="417" t="s">
        <v>58</v>
      </c>
      <c r="J6" s="418"/>
      <c r="K6" s="418"/>
      <c r="L6" s="418"/>
      <c r="M6" s="418"/>
      <c r="N6" s="419"/>
      <c r="O6" s="390" t="s">
        <v>275</v>
      </c>
      <c r="P6" s="391"/>
      <c r="Q6" s="390" t="s">
        <v>6</v>
      </c>
      <c r="R6" s="392"/>
      <c r="S6" s="392"/>
      <c r="T6" s="392"/>
      <c r="U6" s="391"/>
      <c r="V6" s="390" t="s">
        <v>7</v>
      </c>
      <c r="W6" s="392"/>
      <c r="X6" s="392"/>
      <c r="Y6" s="391"/>
      <c r="Z6" s="390" t="s">
        <v>393</v>
      </c>
      <c r="AA6" s="392"/>
      <c r="AB6" s="392"/>
      <c r="AC6" s="392"/>
      <c r="AD6" s="392"/>
      <c r="AE6" s="391"/>
      <c r="AF6" s="170"/>
      <c r="AG6" s="174"/>
      <c r="AX6" s="170"/>
      <c r="AY6" s="170"/>
      <c r="AZ6" s="170"/>
      <c r="BA6" s="170"/>
    </row>
    <row r="7" spans="2:53" ht="16.5" customHeight="1" x14ac:dyDescent="0.2">
      <c r="B7" s="373"/>
      <c r="C7" s="374"/>
      <c r="D7" s="374"/>
      <c r="E7" s="374"/>
      <c r="F7" s="374"/>
      <c r="G7" s="374"/>
      <c r="H7" s="375"/>
      <c r="I7" s="373" t="s">
        <v>301</v>
      </c>
      <c r="J7" s="374"/>
      <c r="K7" s="374"/>
      <c r="L7" s="374"/>
      <c r="M7" s="374"/>
      <c r="N7" s="375"/>
      <c r="O7" s="248" t="s">
        <v>8</v>
      </c>
      <c r="P7" s="237" t="s">
        <v>276</v>
      </c>
      <c r="Q7" s="238" t="s">
        <v>10</v>
      </c>
      <c r="R7" s="188" t="s">
        <v>11</v>
      </c>
      <c r="S7" s="393" t="s">
        <v>14</v>
      </c>
      <c r="T7" s="394"/>
      <c r="U7" s="395"/>
      <c r="V7" s="238" t="s">
        <v>10</v>
      </c>
      <c r="W7" s="188" t="s">
        <v>11</v>
      </c>
      <c r="X7" s="393" t="s">
        <v>54</v>
      </c>
      <c r="Y7" s="395"/>
      <c r="Z7" s="410"/>
      <c r="AA7" s="411"/>
      <c r="AB7" s="411"/>
      <c r="AC7" s="411"/>
      <c r="AD7" s="411"/>
      <c r="AE7" s="412"/>
      <c r="AF7" s="170"/>
      <c r="AG7" s="174"/>
      <c r="AX7" s="170"/>
      <c r="AY7" s="170"/>
      <c r="AZ7" s="170"/>
      <c r="BA7" s="170"/>
    </row>
    <row r="8" spans="2:53" x14ac:dyDescent="0.2">
      <c r="B8" s="376"/>
      <c r="C8" s="377"/>
      <c r="D8" s="377"/>
      <c r="E8" s="377"/>
      <c r="F8" s="377"/>
      <c r="G8" s="377"/>
      <c r="H8" s="378"/>
      <c r="I8" s="376"/>
      <c r="J8" s="377"/>
      <c r="K8" s="377"/>
      <c r="L8" s="377"/>
      <c r="M8" s="377"/>
      <c r="N8" s="378"/>
      <c r="O8" s="246" t="s">
        <v>15</v>
      </c>
      <c r="P8" s="184" t="s">
        <v>277</v>
      </c>
      <c r="Q8" s="179">
        <v>0.05</v>
      </c>
      <c r="R8" s="185" t="s">
        <v>416</v>
      </c>
      <c r="S8" s="367" t="s">
        <v>418</v>
      </c>
      <c r="T8" s="368"/>
      <c r="U8" s="369"/>
      <c r="V8" s="179">
        <v>0.05</v>
      </c>
      <c r="W8" s="185" t="s">
        <v>35</v>
      </c>
      <c r="X8" s="367" t="s">
        <v>428</v>
      </c>
      <c r="Y8" s="369"/>
      <c r="Z8" s="187" t="s">
        <v>48</v>
      </c>
      <c r="AA8" s="188" t="s">
        <v>10</v>
      </c>
      <c r="AB8" s="188" t="s">
        <v>217</v>
      </c>
      <c r="AC8" s="413" t="s">
        <v>81</v>
      </c>
      <c r="AD8" s="413"/>
      <c r="AE8" s="414"/>
      <c r="AF8" s="170"/>
      <c r="AG8" s="174"/>
      <c r="AX8" s="170"/>
      <c r="AY8" s="170"/>
      <c r="AZ8" s="170"/>
      <c r="BA8" s="170"/>
    </row>
    <row r="9" spans="2:53" ht="13.5" thickBot="1" x14ac:dyDescent="0.25">
      <c r="B9" s="379"/>
      <c r="C9" s="380"/>
      <c r="D9" s="380"/>
      <c r="E9" s="380"/>
      <c r="F9" s="380"/>
      <c r="G9" s="380"/>
      <c r="H9" s="381"/>
      <c r="I9" s="379"/>
      <c r="J9" s="380"/>
      <c r="K9" s="380"/>
      <c r="L9" s="380"/>
      <c r="M9" s="380"/>
      <c r="N9" s="381"/>
      <c r="O9" s="246" t="s">
        <v>23</v>
      </c>
      <c r="P9" s="184" t="s">
        <v>24</v>
      </c>
      <c r="Q9" s="179">
        <v>0.15</v>
      </c>
      <c r="R9" s="185" t="s">
        <v>31</v>
      </c>
      <c r="S9" s="367" t="s">
        <v>419</v>
      </c>
      <c r="T9" s="368"/>
      <c r="U9" s="369"/>
      <c r="V9" s="179">
        <v>0.15</v>
      </c>
      <c r="W9" s="185" t="s">
        <v>423</v>
      </c>
      <c r="X9" s="367" t="s">
        <v>424</v>
      </c>
      <c r="Y9" s="368"/>
      <c r="Z9" s="241">
        <v>0</v>
      </c>
      <c r="AA9" s="186">
        <v>0</v>
      </c>
      <c r="AB9" s="185" t="s">
        <v>278</v>
      </c>
      <c r="AC9" s="190" t="s">
        <v>82</v>
      </c>
      <c r="AD9" s="191"/>
      <c r="AE9" s="192"/>
      <c r="AF9" s="170"/>
      <c r="AG9" s="174"/>
      <c r="AX9" s="170"/>
      <c r="AY9" s="170"/>
      <c r="AZ9" s="170"/>
      <c r="BA9" s="170"/>
    </row>
    <row r="10" spans="2:53" ht="15" customHeight="1" x14ac:dyDescent="0.2">
      <c r="B10" s="187" t="s">
        <v>11</v>
      </c>
      <c r="C10" s="188" t="s">
        <v>50</v>
      </c>
      <c r="D10" s="188" t="s">
        <v>396</v>
      </c>
      <c r="E10" s="244" t="s">
        <v>10</v>
      </c>
      <c r="F10" s="393" t="s">
        <v>12</v>
      </c>
      <c r="G10" s="394"/>
      <c r="H10" s="395"/>
      <c r="I10" s="247" t="s">
        <v>11</v>
      </c>
      <c r="J10" s="188" t="s">
        <v>13</v>
      </c>
      <c r="K10" s="188" t="s">
        <v>50</v>
      </c>
      <c r="L10" s="382" t="s">
        <v>14</v>
      </c>
      <c r="M10" s="383"/>
      <c r="N10" s="384"/>
      <c r="O10" s="183" t="s">
        <v>18</v>
      </c>
      <c r="P10" s="184" t="s">
        <v>19</v>
      </c>
      <c r="Q10" s="179">
        <v>0.3</v>
      </c>
      <c r="R10" s="185" t="s">
        <v>417</v>
      </c>
      <c r="S10" s="367" t="s">
        <v>420</v>
      </c>
      <c r="T10" s="368"/>
      <c r="U10" s="369"/>
      <c r="V10" s="179">
        <v>0.3</v>
      </c>
      <c r="W10" s="185" t="s">
        <v>417</v>
      </c>
      <c r="X10" s="367" t="s">
        <v>425</v>
      </c>
      <c r="Y10" s="368"/>
      <c r="Z10" s="182" t="s">
        <v>75</v>
      </c>
      <c r="AA10" s="186">
        <v>0.1</v>
      </c>
      <c r="AB10" s="185" t="s">
        <v>280</v>
      </c>
      <c r="AC10" s="193" t="s">
        <v>83</v>
      </c>
      <c r="AD10" s="191"/>
      <c r="AE10" s="192"/>
      <c r="AF10" s="170"/>
      <c r="AG10" s="174"/>
      <c r="AX10" s="170"/>
      <c r="AY10" s="170"/>
      <c r="AZ10" s="170"/>
      <c r="BA10" s="170"/>
    </row>
    <row r="11" spans="2:53" x14ac:dyDescent="0.2">
      <c r="B11" s="182">
        <v>1</v>
      </c>
      <c r="C11" s="243" t="s">
        <v>397</v>
      </c>
      <c r="D11" s="185" t="s">
        <v>400</v>
      </c>
      <c r="E11" s="181">
        <v>0.04</v>
      </c>
      <c r="F11" s="367" t="s">
        <v>407</v>
      </c>
      <c r="G11" s="368"/>
      <c r="H11" s="369"/>
      <c r="I11" s="189">
        <v>1</v>
      </c>
      <c r="J11" s="180">
        <v>5</v>
      </c>
      <c r="K11" s="185" t="s">
        <v>411</v>
      </c>
      <c r="L11" s="367" t="s">
        <v>412</v>
      </c>
      <c r="M11" s="368"/>
      <c r="N11" s="369"/>
      <c r="O11" s="183" t="s">
        <v>55</v>
      </c>
      <c r="P11" s="184" t="s">
        <v>56</v>
      </c>
      <c r="Q11" s="179">
        <v>0.55000000000000004</v>
      </c>
      <c r="R11" s="185" t="s">
        <v>22</v>
      </c>
      <c r="S11" s="367" t="s">
        <v>421</v>
      </c>
      <c r="T11" s="368"/>
      <c r="U11" s="369"/>
      <c r="V11" s="179">
        <v>0.55000000000000004</v>
      </c>
      <c r="W11" s="185" t="s">
        <v>22</v>
      </c>
      <c r="X11" s="367" t="s">
        <v>426</v>
      </c>
      <c r="Y11" s="368"/>
      <c r="Z11" s="182" t="s">
        <v>76</v>
      </c>
      <c r="AA11" s="186">
        <v>0.3</v>
      </c>
      <c r="AB11" s="185" t="s">
        <v>281</v>
      </c>
      <c r="AC11" s="190" t="s">
        <v>84</v>
      </c>
      <c r="AD11" s="191"/>
      <c r="AE11" s="192"/>
      <c r="AF11" s="170"/>
      <c r="AG11" s="174"/>
      <c r="AX11" s="170"/>
      <c r="AY11" s="170"/>
      <c r="AZ11" s="170"/>
      <c r="BA11" s="170"/>
    </row>
    <row r="12" spans="2:53" ht="13.5" thickBot="1" x14ac:dyDescent="0.25">
      <c r="B12" s="182">
        <v>2</v>
      </c>
      <c r="C12" s="243" t="s">
        <v>401</v>
      </c>
      <c r="D12" s="185" t="s">
        <v>404</v>
      </c>
      <c r="E12" s="181">
        <v>0.1</v>
      </c>
      <c r="F12" s="367" t="s">
        <v>408</v>
      </c>
      <c r="G12" s="368"/>
      <c r="H12" s="369"/>
      <c r="I12" s="189">
        <v>2</v>
      </c>
      <c r="J12" s="180">
        <v>10</v>
      </c>
      <c r="K12" s="185" t="s">
        <v>21</v>
      </c>
      <c r="L12" s="367" t="s">
        <v>413</v>
      </c>
      <c r="M12" s="368"/>
      <c r="N12" s="369"/>
      <c r="O12" s="183" t="s">
        <v>394</v>
      </c>
      <c r="P12" s="184" t="s">
        <v>395</v>
      </c>
      <c r="Q12" s="194">
        <v>0.85</v>
      </c>
      <c r="R12" s="195" t="s">
        <v>17</v>
      </c>
      <c r="S12" s="370" t="s">
        <v>422</v>
      </c>
      <c r="T12" s="371"/>
      <c r="U12" s="372"/>
      <c r="V12" s="194">
        <v>0.85</v>
      </c>
      <c r="W12" s="195" t="s">
        <v>17</v>
      </c>
      <c r="X12" s="370" t="s">
        <v>427</v>
      </c>
      <c r="Y12" s="371"/>
      <c r="Z12" s="182" t="s">
        <v>77</v>
      </c>
      <c r="AA12" s="186">
        <v>0.5</v>
      </c>
      <c r="AB12" s="185" t="s">
        <v>279</v>
      </c>
      <c r="AC12" s="190" t="s">
        <v>85</v>
      </c>
      <c r="AD12" s="191"/>
      <c r="AE12" s="192"/>
      <c r="AF12" s="170"/>
      <c r="AG12" s="174"/>
      <c r="AX12" s="170"/>
      <c r="AY12" s="170"/>
      <c r="AZ12" s="170"/>
      <c r="BA12" s="170"/>
    </row>
    <row r="13" spans="2:53" ht="13.5" thickBot="1" x14ac:dyDescent="0.25">
      <c r="B13" s="182">
        <v>3</v>
      </c>
      <c r="C13" s="243" t="s">
        <v>402</v>
      </c>
      <c r="D13" s="185" t="s">
        <v>405</v>
      </c>
      <c r="E13" s="181">
        <v>0.25</v>
      </c>
      <c r="F13" s="367" t="s">
        <v>409</v>
      </c>
      <c r="G13" s="368"/>
      <c r="H13" s="369"/>
      <c r="I13" s="189">
        <v>3</v>
      </c>
      <c r="J13" s="180">
        <v>30</v>
      </c>
      <c r="K13" s="185" t="s">
        <v>27</v>
      </c>
      <c r="L13" s="367" t="s">
        <v>51</v>
      </c>
      <c r="M13" s="368"/>
      <c r="N13" s="369"/>
      <c r="O13" s="183" t="s">
        <v>32</v>
      </c>
      <c r="P13" s="184" t="s">
        <v>33</v>
      </c>
      <c r="Q13" s="361" t="s">
        <v>282</v>
      </c>
      <c r="R13" s="362"/>
      <c r="S13" s="362"/>
      <c r="T13" s="362"/>
      <c r="U13" s="362"/>
      <c r="V13" s="362"/>
      <c r="W13" s="362"/>
      <c r="X13" s="362"/>
      <c r="Y13" s="362"/>
      <c r="Z13" s="182" t="s">
        <v>78</v>
      </c>
      <c r="AA13" s="186">
        <v>0.7</v>
      </c>
      <c r="AB13" s="185" t="s">
        <v>22</v>
      </c>
      <c r="AC13" s="190" t="s">
        <v>86</v>
      </c>
      <c r="AD13" s="191"/>
      <c r="AE13" s="192"/>
      <c r="AF13" s="170"/>
      <c r="AG13" s="174"/>
      <c r="AX13" s="170"/>
      <c r="AY13" s="170"/>
      <c r="AZ13" s="170"/>
      <c r="BA13" s="170"/>
    </row>
    <row r="14" spans="2:53" ht="13.5" thickBot="1" x14ac:dyDescent="0.25">
      <c r="B14" s="182">
        <v>4</v>
      </c>
      <c r="C14" s="243" t="s">
        <v>403</v>
      </c>
      <c r="D14" s="185" t="s">
        <v>406</v>
      </c>
      <c r="E14" s="181">
        <v>0.55000000000000004</v>
      </c>
      <c r="F14" s="367" t="s">
        <v>46</v>
      </c>
      <c r="G14" s="368"/>
      <c r="H14" s="369"/>
      <c r="I14" s="189">
        <v>4</v>
      </c>
      <c r="J14" s="180">
        <v>60</v>
      </c>
      <c r="K14" s="185" t="s">
        <v>30</v>
      </c>
      <c r="L14" s="367" t="s">
        <v>52</v>
      </c>
      <c r="M14" s="368"/>
      <c r="N14" s="369"/>
      <c r="O14" s="183" t="s">
        <v>28</v>
      </c>
      <c r="P14" s="184" t="s">
        <v>29</v>
      </c>
      <c r="Q14" s="196" t="s">
        <v>266</v>
      </c>
      <c r="R14" s="61" t="s">
        <v>270</v>
      </c>
      <c r="S14" s="198" t="s">
        <v>267</v>
      </c>
      <c r="T14" s="62" t="s">
        <v>271</v>
      </c>
      <c r="U14" s="198" t="s">
        <v>268</v>
      </c>
      <c r="V14" s="401" t="s">
        <v>272</v>
      </c>
      <c r="W14" s="402"/>
      <c r="X14" s="199" t="s">
        <v>269</v>
      </c>
      <c r="Y14" s="239" t="s">
        <v>273</v>
      </c>
      <c r="Z14" s="182" t="s">
        <v>79</v>
      </c>
      <c r="AA14" s="186">
        <v>0.9</v>
      </c>
      <c r="AB14" s="185" t="s">
        <v>53</v>
      </c>
      <c r="AC14" s="190" t="s">
        <v>87</v>
      </c>
      <c r="AD14" s="191"/>
      <c r="AE14" s="192"/>
      <c r="AF14" s="170"/>
      <c r="AG14" s="174"/>
      <c r="AX14" s="170"/>
      <c r="AY14" s="170"/>
      <c r="AZ14" s="170"/>
      <c r="BA14" s="170"/>
    </row>
    <row r="15" spans="2:53" ht="13.5" thickBot="1" x14ac:dyDescent="0.25">
      <c r="B15" s="215">
        <v>5</v>
      </c>
      <c r="C15" s="245" t="s">
        <v>47</v>
      </c>
      <c r="D15" s="195" t="s">
        <v>49</v>
      </c>
      <c r="E15" s="202">
        <v>0.85</v>
      </c>
      <c r="F15" s="370" t="s">
        <v>410</v>
      </c>
      <c r="G15" s="371"/>
      <c r="H15" s="372"/>
      <c r="I15" s="203">
        <v>5</v>
      </c>
      <c r="J15" s="201">
        <v>85</v>
      </c>
      <c r="K15" s="195" t="s">
        <v>414</v>
      </c>
      <c r="L15" s="370" t="s">
        <v>415</v>
      </c>
      <c r="M15" s="371"/>
      <c r="N15" s="372"/>
      <c r="O15" s="204" t="s">
        <v>36</v>
      </c>
      <c r="P15" s="205" t="s">
        <v>37</v>
      </c>
      <c r="Q15" s="206" t="s">
        <v>300</v>
      </c>
      <c r="R15" s="207" t="s">
        <v>9</v>
      </c>
      <c r="S15" s="208"/>
      <c r="T15" s="209" t="s">
        <v>398</v>
      </c>
      <c r="U15" s="209"/>
      <c r="V15" s="403" t="s">
        <v>399</v>
      </c>
      <c r="W15" s="404"/>
      <c r="X15" s="210"/>
      <c r="Y15" s="240" t="s">
        <v>25</v>
      </c>
      <c r="Z15" s="215" t="s">
        <v>72</v>
      </c>
      <c r="AA15" s="242">
        <v>0.1</v>
      </c>
      <c r="AB15" s="195" t="s">
        <v>80</v>
      </c>
      <c r="AC15" s="211" t="s">
        <v>88</v>
      </c>
      <c r="AD15" s="212"/>
      <c r="AE15" s="213"/>
      <c r="AF15" s="170"/>
      <c r="AG15" s="174"/>
      <c r="AX15" s="170"/>
      <c r="AY15" s="170"/>
      <c r="AZ15" s="170"/>
      <c r="BA15" s="170"/>
    </row>
    <row r="16" spans="2:53" ht="8.25" customHeight="1" x14ac:dyDescent="0.2">
      <c r="B16" s="170"/>
      <c r="C16" s="170"/>
      <c r="D16" s="178"/>
      <c r="E16" s="170"/>
      <c r="F16" s="170"/>
      <c r="G16" s="170"/>
      <c r="H16" s="214"/>
      <c r="I16" s="170"/>
      <c r="J16" s="170"/>
      <c r="K16" s="171"/>
      <c r="L16" s="170"/>
      <c r="M16" s="171"/>
      <c r="N16" s="178"/>
      <c r="O16" s="171"/>
      <c r="P16" s="171"/>
      <c r="Q16" s="171"/>
      <c r="R16" s="171"/>
      <c r="S16" s="178"/>
      <c r="T16" s="171"/>
      <c r="U16" s="171"/>
      <c r="V16" s="171"/>
      <c r="W16" s="172"/>
      <c r="X16" s="170"/>
      <c r="Y16" s="170"/>
      <c r="Z16" s="170"/>
      <c r="AA16" s="170"/>
      <c r="AB16" s="173"/>
      <c r="AC16" s="170"/>
      <c r="AD16" s="170"/>
      <c r="AE16" s="171"/>
      <c r="AF16" s="170"/>
      <c r="AG16" s="174"/>
      <c r="AX16" s="170"/>
      <c r="AY16" s="170"/>
      <c r="AZ16" s="170"/>
      <c r="BA16" s="170"/>
    </row>
    <row r="17" spans="2:53" ht="12" customHeight="1" x14ac:dyDescent="0.2"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250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4"/>
      <c r="AX17" s="170"/>
      <c r="AY17" s="170"/>
      <c r="AZ17" s="170"/>
      <c r="BA17" s="170"/>
    </row>
    <row r="18" spans="2:53" ht="5.25" customHeight="1" thickBot="1" x14ac:dyDescent="0.25">
      <c r="B18" s="170"/>
      <c r="C18" s="170"/>
      <c r="D18" s="178"/>
      <c r="E18" s="170"/>
      <c r="F18" s="170"/>
      <c r="G18" s="170"/>
      <c r="H18" s="214"/>
      <c r="I18" s="170"/>
      <c r="J18" s="170"/>
      <c r="K18" s="171"/>
      <c r="L18" s="170"/>
      <c r="M18" s="171"/>
      <c r="N18" s="178"/>
      <c r="O18" s="171"/>
      <c r="P18" s="171"/>
      <c r="Q18" s="171"/>
      <c r="R18" s="171"/>
      <c r="S18" s="178"/>
      <c r="T18" s="171"/>
      <c r="U18" s="171"/>
      <c r="V18" s="171"/>
      <c r="W18" s="172"/>
      <c r="X18" s="170"/>
      <c r="Y18" s="170"/>
      <c r="Z18" s="170"/>
      <c r="AA18" s="170"/>
      <c r="AB18" s="173"/>
      <c r="AC18" s="170"/>
      <c r="AD18" s="170"/>
      <c r="AE18" s="171"/>
      <c r="AF18" s="170"/>
      <c r="AG18" s="174"/>
      <c r="AX18" s="170"/>
      <c r="AY18" s="170"/>
      <c r="AZ18" s="170"/>
      <c r="BA18" s="170"/>
    </row>
    <row r="19" spans="2:53" ht="13.5" thickBot="1" x14ac:dyDescent="0.25">
      <c r="B19" s="352" t="s">
        <v>66</v>
      </c>
      <c r="C19" s="353"/>
      <c r="D19" s="356" t="s">
        <v>91</v>
      </c>
      <c r="E19" s="357"/>
      <c r="F19" s="357"/>
      <c r="G19" s="357"/>
      <c r="H19" s="357"/>
      <c r="I19" s="358" t="s">
        <v>67</v>
      </c>
      <c r="J19" s="359"/>
      <c r="K19" s="359"/>
      <c r="L19" s="365">
        <v>45844</v>
      </c>
      <c r="M19" s="366"/>
      <c r="N19" s="266" t="s">
        <v>90</v>
      </c>
      <c r="O19" s="229"/>
      <c r="P19" s="228">
        <v>45844</v>
      </c>
      <c r="Q19" s="358" t="s">
        <v>116</v>
      </c>
      <c r="R19" s="359"/>
      <c r="S19" s="415"/>
      <c r="T19" s="415"/>
      <c r="U19" s="415"/>
      <c r="V19" s="416"/>
      <c r="W19" s="359" t="s">
        <v>117</v>
      </c>
      <c r="X19" s="359"/>
      <c r="Y19" s="359"/>
      <c r="Z19" s="359"/>
      <c r="AA19" s="359"/>
      <c r="AB19" s="359"/>
      <c r="AC19" s="359"/>
      <c r="AD19" s="359"/>
      <c r="AE19" s="227" t="s">
        <v>299</v>
      </c>
      <c r="AF19" s="405"/>
      <c r="AG19" s="406"/>
    </row>
    <row r="20" spans="2:53" ht="13.5" thickBot="1" x14ac:dyDescent="0.25">
      <c r="B20" s="170"/>
      <c r="C20" s="170"/>
      <c r="D20" s="170"/>
      <c r="E20" s="178"/>
      <c r="F20" s="170"/>
      <c r="G20" s="170"/>
      <c r="H20" s="171"/>
      <c r="I20" s="172"/>
      <c r="J20" s="170"/>
      <c r="K20" s="171"/>
      <c r="L20" s="170"/>
      <c r="M20" s="171"/>
      <c r="N20" s="171"/>
      <c r="O20" s="178"/>
      <c r="P20" s="171"/>
      <c r="Q20" s="171"/>
      <c r="R20" s="171"/>
      <c r="S20" s="171"/>
      <c r="T20" s="178"/>
      <c r="U20" s="171"/>
      <c r="V20" s="171"/>
      <c r="W20" s="170"/>
      <c r="X20" s="172"/>
      <c r="Y20" s="170"/>
      <c r="Z20" s="170"/>
      <c r="AA20" s="170"/>
      <c r="AB20" s="173"/>
      <c r="AC20" s="170"/>
      <c r="AD20" s="170"/>
      <c r="AE20" s="171"/>
      <c r="AF20" s="170"/>
      <c r="AG20" s="174"/>
    </row>
    <row r="21" spans="2:53" ht="13.5" customHeight="1" thickBot="1" x14ac:dyDescent="0.25">
      <c r="B21" s="318" t="s">
        <v>38</v>
      </c>
      <c r="C21" s="320" t="s">
        <v>298</v>
      </c>
      <c r="D21" s="322" t="s">
        <v>39</v>
      </c>
      <c r="E21" s="323"/>
      <c r="F21" s="326" t="s">
        <v>57</v>
      </c>
      <c r="G21" s="327"/>
      <c r="H21" s="354" t="s">
        <v>43</v>
      </c>
      <c r="I21" s="330" t="s">
        <v>265</v>
      </c>
      <c r="J21" s="331"/>
      <c r="K21" s="332"/>
      <c r="L21" s="276" t="s">
        <v>5</v>
      </c>
      <c r="M21" s="346"/>
      <c r="N21" s="346"/>
      <c r="O21" s="346"/>
      <c r="P21" s="346"/>
      <c r="Q21" s="346"/>
      <c r="R21" s="346"/>
      <c r="S21" s="276" t="s">
        <v>303</v>
      </c>
      <c r="T21" s="277"/>
      <c r="U21" s="408" t="s">
        <v>70</v>
      </c>
      <c r="V21" s="409"/>
      <c r="W21" s="283" t="s">
        <v>296</v>
      </c>
      <c r="X21" s="364"/>
      <c r="Y21" s="284"/>
      <c r="Z21" s="299" t="s">
        <v>71</v>
      </c>
      <c r="AA21" s="300"/>
      <c r="AB21" s="300"/>
      <c r="AC21" s="300"/>
      <c r="AD21" s="300"/>
      <c r="AE21" s="301"/>
      <c r="AF21" s="283" t="s">
        <v>97</v>
      </c>
      <c r="AG21" s="284"/>
    </row>
    <row r="22" spans="2:53" ht="34.5" customHeight="1" thickBot="1" x14ac:dyDescent="0.25">
      <c r="B22" s="319"/>
      <c r="C22" s="321"/>
      <c r="D22" s="324"/>
      <c r="E22" s="325"/>
      <c r="F22" s="328"/>
      <c r="G22" s="329"/>
      <c r="H22" s="355"/>
      <c r="I22" s="333" t="s">
        <v>73</v>
      </c>
      <c r="J22" s="334"/>
      <c r="K22" s="14" t="s">
        <v>217</v>
      </c>
      <c r="L22" s="363" t="s">
        <v>44</v>
      </c>
      <c r="M22" s="348"/>
      <c r="N22" s="50" t="s">
        <v>45</v>
      </c>
      <c r="O22" s="347" t="s">
        <v>286</v>
      </c>
      <c r="P22" s="348"/>
      <c r="Q22" s="49" t="s">
        <v>307</v>
      </c>
      <c r="R22" s="47" t="s">
        <v>74</v>
      </c>
      <c r="S22" s="48" t="s">
        <v>305</v>
      </c>
      <c r="T22" s="46" t="s">
        <v>306</v>
      </c>
      <c r="U22" s="15" t="s">
        <v>13</v>
      </c>
      <c r="V22" s="11" t="s">
        <v>50</v>
      </c>
      <c r="W22" s="12" t="s">
        <v>304</v>
      </c>
      <c r="X22" s="13" t="s">
        <v>40</v>
      </c>
      <c r="Y22" s="13" t="s">
        <v>41</v>
      </c>
      <c r="Z22" s="13" t="s">
        <v>69</v>
      </c>
      <c r="AA22" s="302" t="s">
        <v>42</v>
      </c>
      <c r="AB22" s="303"/>
      <c r="AC22" s="304" t="s">
        <v>302</v>
      </c>
      <c r="AD22" s="305"/>
      <c r="AE22" s="54" t="s">
        <v>288</v>
      </c>
      <c r="AF22" s="285" t="s">
        <v>98</v>
      </c>
      <c r="AG22" s="286"/>
    </row>
    <row r="23" spans="2:53" ht="13.5" customHeight="1" thickBot="1" x14ac:dyDescent="0.25">
      <c r="B23" s="338">
        <v>1</v>
      </c>
      <c r="C23" s="335">
        <v>45854</v>
      </c>
      <c r="D23" s="344" t="s">
        <v>308</v>
      </c>
      <c r="E23" s="345"/>
      <c r="F23" s="340" t="s">
        <v>309</v>
      </c>
      <c r="G23" s="341"/>
      <c r="H23" s="267" t="s">
        <v>8</v>
      </c>
      <c r="I23" s="274">
        <v>0.3</v>
      </c>
      <c r="J23" s="275"/>
      <c r="K23" s="499" t="s">
        <v>31</v>
      </c>
      <c r="L23" s="360">
        <v>0.85</v>
      </c>
      <c r="M23" s="278"/>
      <c r="N23" s="216">
        <v>0.55000000000000004</v>
      </c>
      <c r="O23" s="278">
        <v>0.55000000000000004</v>
      </c>
      <c r="P23" s="278"/>
      <c r="Q23" s="217">
        <v>0.17998750000000002</v>
      </c>
      <c r="R23" s="255" t="s">
        <v>429</v>
      </c>
      <c r="S23" s="251">
        <v>0.21148531250000002</v>
      </c>
      <c r="T23" s="259" t="s">
        <v>429</v>
      </c>
      <c r="U23" s="253">
        <v>100</v>
      </c>
      <c r="V23" s="263" t="s">
        <v>34</v>
      </c>
      <c r="W23" s="221">
        <v>21.148531250000001</v>
      </c>
      <c r="X23" s="222"/>
      <c r="Y23" s="268" t="s">
        <v>431</v>
      </c>
      <c r="Z23" s="306">
        <v>33.221192812500014</v>
      </c>
      <c r="AA23" s="309">
        <v>11.299725446428576</v>
      </c>
      <c r="AB23" s="310"/>
      <c r="AC23" s="289">
        <v>11.299725446428576</v>
      </c>
      <c r="AD23" s="290"/>
      <c r="AE23" s="55" t="s">
        <v>290</v>
      </c>
      <c r="AF23" s="295" t="s">
        <v>259</v>
      </c>
      <c r="AG23" s="296"/>
    </row>
    <row r="24" spans="2:53" ht="13.5" customHeight="1" thickBot="1" x14ac:dyDescent="0.25">
      <c r="B24" s="338"/>
      <c r="C24" s="336"/>
      <c r="D24" s="342"/>
      <c r="E24" s="336"/>
      <c r="F24" s="342"/>
      <c r="G24" s="336"/>
      <c r="H24" s="183" t="s">
        <v>15</v>
      </c>
      <c r="I24" s="274">
        <v>0.8</v>
      </c>
      <c r="J24" s="275"/>
      <c r="K24" s="501" t="s">
        <v>22</v>
      </c>
      <c r="L24" s="272">
        <v>0.85</v>
      </c>
      <c r="M24" s="273"/>
      <c r="N24" s="216">
        <v>0.85</v>
      </c>
      <c r="O24" s="273">
        <v>0.55000000000000004</v>
      </c>
      <c r="P24" s="273"/>
      <c r="Q24" s="218">
        <v>7.947499999999999E-2</v>
      </c>
      <c r="R24" s="257" t="s">
        <v>432</v>
      </c>
      <c r="S24" s="251">
        <v>8.3448749999999988E-2</v>
      </c>
      <c r="T24" s="261" t="s">
        <v>432</v>
      </c>
      <c r="U24" s="32">
        <v>60</v>
      </c>
      <c r="V24" s="264" t="s">
        <v>30</v>
      </c>
      <c r="W24" s="221">
        <v>5.006924999999999</v>
      </c>
      <c r="X24" s="223"/>
      <c r="Y24" s="269" t="s">
        <v>433</v>
      </c>
      <c r="Z24" s="307"/>
      <c r="AA24" s="311"/>
      <c r="AB24" s="312"/>
      <c r="AC24" s="291"/>
      <c r="AD24" s="292"/>
      <c r="AE24" s="55" t="s">
        <v>290</v>
      </c>
      <c r="AF24" s="297" t="s">
        <v>260</v>
      </c>
      <c r="AG24" s="298"/>
    </row>
    <row r="25" spans="2:53" ht="13.5" customHeight="1" thickBot="1" x14ac:dyDescent="0.25">
      <c r="B25" s="338"/>
      <c r="C25" s="336"/>
      <c r="D25" s="342"/>
      <c r="E25" s="336"/>
      <c r="F25" s="342"/>
      <c r="G25" s="336"/>
      <c r="H25" s="183" t="s">
        <v>23</v>
      </c>
      <c r="I25" s="274">
        <v>0.5</v>
      </c>
      <c r="J25" s="275"/>
      <c r="K25" s="500" t="s">
        <v>279</v>
      </c>
      <c r="L25" s="272">
        <v>0.85</v>
      </c>
      <c r="M25" s="273"/>
      <c r="N25" s="216">
        <v>0.85</v>
      </c>
      <c r="O25" s="273">
        <v>0.55000000000000004</v>
      </c>
      <c r="P25" s="273"/>
      <c r="Q25" s="218">
        <v>0.19868750000000002</v>
      </c>
      <c r="R25" s="256" t="s">
        <v>429</v>
      </c>
      <c r="S25" s="251">
        <v>0.22352343750000003</v>
      </c>
      <c r="T25" s="260" t="s">
        <v>429</v>
      </c>
      <c r="U25" s="32">
        <v>30</v>
      </c>
      <c r="V25" s="260" t="s">
        <v>27</v>
      </c>
      <c r="W25" s="221">
        <v>6.7057031250000012</v>
      </c>
      <c r="X25" s="224"/>
      <c r="Y25" s="269" t="s">
        <v>433</v>
      </c>
      <c r="Z25" s="307"/>
      <c r="AA25" s="311"/>
      <c r="AB25" s="312"/>
      <c r="AC25" s="291"/>
      <c r="AD25" s="292"/>
      <c r="AE25" s="55" t="s">
        <v>291</v>
      </c>
      <c r="AF25" s="297" t="s">
        <v>261</v>
      </c>
      <c r="AG25" s="298"/>
    </row>
    <row r="26" spans="2:53" ht="13.5" customHeight="1" thickBot="1" x14ac:dyDescent="0.25">
      <c r="B26" s="338"/>
      <c r="C26" s="336"/>
      <c r="D26" s="342"/>
      <c r="E26" s="336"/>
      <c r="F26" s="342"/>
      <c r="G26" s="336"/>
      <c r="H26" s="183" t="s">
        <v>18</v>
      </c>
      <c r="I26" s="274">
        <v>0.5</v>
      </c>
      <c r="J26" s="275"/>
      <c r="K26" s="500" t="s">
        <v>279</v>
      </c>
      <c r="L26" s="272">
        <v>0.55000000000000004</v>
      </c>
      <c r="M26" s="273"/>
      <c r="N26" s="216">
        <v>0.85</v>
      </c>
      <c r="O26" s="273">
        <v>0.55000000000000004</v>
      </c>
      <c r="P26" s="273"/>
      <c r="Q26" s="218">
        <v>0.12856250000000002</v>
      </c>
      <c r="R26" s="257" t="s">
        <v>432</v>
      </c>
      <c r="S26" s="251">
        <v>0.14463281250000004</v>
      </c>
      <c r="T26" s="261" t="s">
        <v>432</v>
      </c>
      <c r="U26" s="32">
        <v>0.5</v>
      </c>
      <c r="V26" s="261" t="s">
        <v>434</v>
      </c>
      <c r="W26" s="221">
        <v>7.231640625000002E-2</v>
      </c>
      <c r="X26" s="224"/>
      <c r="Y26" s="270" t="s">
        <v>430</v>
      </c>
      <c r="Z26" s="307"/>
      <c r="AA26" s="311"/>
      <c r="AB26" s="312"/>
      <c r="AC26" s="291"/>
      <c r="AD26" s="292"/>
      <c r="AE26" s="55"/>
      <c r="AF26" s="281" t="s">
        <v>262</v>
      </c>
      <c r="AG26" s="282"/>
    </row>
    <row r="27" spans="2:53" ht="13.5" customHeight="1" thickBot="1" x14ac:dyDescent="0.25">
      <c r="B27" s="338"/>
      <c r="C27" s="336"/>
      <c r="D27" s="342"/>
      <c r="E27" s="336"/>
      <c r="F27" s="342"/>
      <c r="G27" s="336"/>
      <c r="H27" s="183" t="s">
        <v>55</v>
      </c>
      <c r="I27" s="274">
        <v>0.5</v>
      </c>
      <c r="J27" s="275"/>
      <c r="K27" s="500" t="s">
        <v>279</v>
      </c>
      <c r="L27" s="272">
        <v>0.55000000000000004</v>
      </c>
      <c r="M27" s="273"/>
      <c r="N27" s="216">
        <v>0.85</v>
      </c>
      <c r="O27" s="316">
        <v>0.55000000000000004</v>
      </c>
      <c r="P27" s="317"/>
      <c r="Q27" s="218">
        <v>0.12856250000000002</v>
      </c>
      <c r="R27" s="257" t="s">
        <v>432</v>
      </c>
      <c r="S27" s="251">
        <v>0.14463281250000004</v>
      </c>
      <c r="T27" s="261" t="s">
        <v>432</v>
      </c>
      <c r="U27" s="32">
        <v>0.5</v>
      </c>
      <c r="V27" s="261" t="s">
        <v>434</v>
      </c>
      <c r="W27" s="221">
        <v>7.231640625000002E-2</v>
      </c>
      <c r="X27" s="224"/>
      <c r="Y27" s="270" t="s">
        <v>430</v>
      </c>
      <c r="Z27" s="307"/>
      <c r="AA27" s="311"/>
      <c r="AB27" s="312"/>
      <c r="AC27" s="291"/>
      <c r="AD27" s="292"/>
      <c r="AE27" s="53"/>
      <c r="AF27" s="281" t="s">
        <v>263</v>
      </c>
      <c r="AG27" s="282"/>
    </row>
    <row r="28" spans="2:53" ht="13.5" customHeight="1" thickBot="1" x14ac:dyDescent="0.25">
      <c r="B28" s="338"/>
      <c r="C28" s="336"/>
      <c r="D28" s="342"/>
      <c r="E28" s="336"/>
      <c r="F28" s="342"/>
      <c r="G28" s="336"/>
      <c r="H28" s="183" t="s">
        <v>394</v>
      </c>
      <c r="I28" s="274">
        <v>0.5</v>
      </c>
      <c r="J28" s="275"/>
      <c r="K28" s="500" t="s">
        <v>279</v>
      </c>
      <c r="L28" s="272">
        <v>0.55000000000000004</v>
      </c>
      <c r="M28" s="273"/>
      <c r="N28" s="216">
        <v>0.85</v>
      </c>
      <c r="O28" s="273">
        <v>0.55000000000000004</v>
      </c>
      <c r="P28" s="273"/>
      <c r="Q28" s="218">
        <v>0.12856250000000002</v>
      </c>
      <c r="R28" s="257" t="s">
        <v>432</v>
      </c>
      <c r="S28" s="251">
        <v>0.14463281250000004</v>
      </c>
      <c r="T28" s="261" t="s">
        <v>432</v>
      </c>
      <c r="U28" s="32">
        <v>0.5</v>
      </c>
      <c r="V28" s="261" t="s">
        <v>434</v>
      </c>
      <c r="W28" s="221">
        <v>7.231640625000002E-2</v>
      </c>
      <c r="X28" s="224"/>
      <c r="Y28" s="270" t="s">
        <v>430</v>
      </c>
      <c r="Z28" s="307"/>
      <c r="AA28" s="311"/>
      <c r="AB28" s="312"/>
      <c r="AC28" s="291"/>
      <c r="AD28" s="292"/>
      <c r="AE28" s="55"/>
      <c r="AF28" s="297" t="s">
        <v>264</v>
      </c>
      <c r="AG28" s="298"/>
    </row>
    <row r="29" spans="2:53" ht="13.5" customHeight="1" thickBot="1" x14ac:dyDescent="0.25">
      <c r="B29" s="338"/>
      <c r="C29" s="336"/>
      <c r="D29" s="342"/>
      <c r="E29" s="336"/>
      <c r="F29" s="342"/>
      <c r="G29" s="336"/>
      <c r="H29" s="183" t="s">
        <v>32</v>
      </c>
      <c r="I29" s="274">
        <v>0.8</v>
      </c>
      <c r="J29" s="275"/>
      <c r="K29" s="501" t="s">
        <v>22</v>
      </c>
      <c r="L29" s="272">
        <v>0.3</v>
      </c>
      <c r="M29" s="273"/>
      <c r="N29" s="216">
        <v>0.85</v>
      </c>
      <c r="O29" s="273">
        <v>0.55000000000000004</v>
      </c>
      <c r="P29" s="273"/>
      <c r="Q29" s="218">
        <v>2.8049999999999995E-2</v>
      </c>
      <c r="R29" s="257" t="s">
        <v>397</v>
      </c>
      <c r="S29" s="251">
        <v>2.9452499999999996E-2</v>
      </c>
      <c r="T29" s="261" t="s">
        <v>397</v>
      </c>
      <c r="U29" s="32">
        <v>0.5</v>
      </c>
      <c r="V29" s="261" t="s">
        <v>434</v>
      </c>
      <c r="W29" s="221">
        <v>1.4726249999999998E-2</v>
      </c>
      <c r="X29" s="224"/>
      <c r="Y29" s="270" t="s">
        <v>430</v>
      </c>
      <c r="Z29" s="307"/>
      <c r="AA29" s="311"/>
      <c r="AB29" s="312"/>
      <c r="AC29" s="291"/>
      <c r="AD29" s="292"/>
      <c r="AE29" s="16"/>
      <c r="AF29" s="297"/>
      <c r="AG29" s="298"/>
    </row>
    <row r="30" spans="2:53" ht="13.5" customHeight="1" thickBot="1" x14ac:dyDescent="0.25">
      <c r="B30" s="338"/>
      <c r="C30" s="336"/>
      <c r="D30" s="342"/>
      <c r="E30" s="336"/>
      <c r="F30" s="342"/>
      <c r="G30" s="336"/>
      <c r="H30" s="183" t="s">
        <v>28</v>
      </c>
      <c r="I30" s="274">
        <v>0.7</v>
      </c>
      <c r="J30" s="275"/>
      <c r="K30" s="501" t="s">
        <v>22</v>
      </c>
      <c r="L30" s="272">
        <v>0.3</v>
      </c>
      <c r="M30" s="273"/>
      <c r="N30" s="216">
        <v>0.85</v>
      </c>
      <c r="O30" s="273">
        <v>0.55000000000000004</v>
      </c>
      <c r="P30" s="273"/>
      <c r="Q30" s="218">
        <v>4.2075000000000008E-2</v>
      </c>
      <c r="R30" s="257" t="s">
        <v>397</v>
      </c>
      <c r="S30" s="251">
        <v>4.523062500000001E-2</v>
      </c>
      <c r="T30" s="261" t="s">
        <v>397</v>
      </c>
      <c r="U30" s="32">
        <v>0.5</v>
      </c>
      <c r="V30" s="261" t="s">
        <v>434</v>
      </c>
      <c r="W30" s="221">
        <v>2.2615312500000005E-2</v>
      </c>
      <c r="X30" s="224"/>
      <c r="Y30" s="270" t="s">
        <v>430</v>
      </c>
      <c r="Z30" s="307"/>
      <c r="AA30" s="311"/>
      <c r="AB30" s="312"/>
      <c r="AC30" s="287">
        <v>0</v>
      </c>
      <c r="AD30" s="288"/>
      <c r="AE30" s="53"/>
      <c r="AF30" s="281"/>
      <c r="AG30" s="282"/>
    </row>
    <row r="31" spans="2:53" ht="13.5" customHeight="1" thickBot="1" x14ac:dyDescent="0.25">
      <c r="B31" s="339"/>
      <c r="C31" s="337"/>
      <c r="D31" s="343"/>
      <c r="E31" s="337"/>
      <c r="F31" s="343"/>
      <c r="G31" s="337"/>
      <c r="H31" s="204" t="s">
        <v>36</v>
      </c>
      <c r="I31" s="349">
        <v>0.3</v>
      </c>
      <c r="J31" s="350"/>
      <c r="K31" s="502" t="s">
        <v>31</v>
      </c>
      <c r="L31" s="351">
        <v>0.55000000000000004</v>
      </c>
      <c r="M31" s="315"/>
      <c r="N31" s="219">
        <v>0.85</v>
      </c>
      <c r="O31" s="315">
        <v>0.55000000000000004</v>
      </c>
      <c r="P31" s="315"/>
      <c r="Q31" s="220">
        <v>0.17998750000000002</v>
      </c>
      <c r="R31" s="258" t="s">
        <v>429</v>
      </c>
      <c r="S31" s="252">
        <v>0.21148531250000002</v>
      </c>
      <c r="T31" s="262" t="s">
        <v>429</v>
      </c>
      <c r="U31" s="254">
        <v>0.5</v>
      </c>
      <c r="V31" s="265" t="s">
        <v>434</v>
      </c>
      <c r="W31" s="225">
        <v>0.10574265625000001</v>
      </c>
      <c r="X31" s="226"/>
      <c r="Y31" s="271" t="s">
        <v>430</v>
      </c>
      <c r="Z31" s="308"/>
      <c r="AA31" s="313"/>
      <c r="AB31" s="314"/>
      <c r="AC31" s="293">
        <v>1</v>
      </c>
      <c r="AD31" s="294"/>
      <c r="AE31" s="45"/>
      <c r="AF31" s="279" t="s">
        <v>297</v>
      </c>
      <c r="AG31" s="280"/>
    </row>
  </sheetData>
  <mergeCells count="124">
    <mergeCell ref="AH1:AH1048576"/>
    <mergeCell ref="AF27:AG27"/>
    <mergeCell ref="V14:W14"/>
    <mergeCell ref="V15:W15"/>
    <mergeCell ref="AF28:AG28"/>
    <mergeCell ref="AF29:AG29"/>
    <mergeCell ref="AF19:AG19"/>
    <mergeCell ref="G1:J1"/>
    <mergeCell ref="F11:H11"/>
    <mergeCell ref="L11:N11"/>
    <mergeCell ref="U21:V21"/>
    <mergeCell ref="Z6:AE6"/>
    <mergeCell ref="Z7:AE7"/>
    <mergeCell ref="V6:Y6"/>
    <mergeCell ref="AC8:AE8"/>
    <mergeCell ref="X8:Y8"/>
    <mergeCell ref="X7:Y7"/>
    <mergeCell ref="O24:P24"/>
    <mergeCell ref="O25:P25"/>
    <mergeCell ref="S9:U9"/>
    <mergeCell ref="S19:V19"/>
    <mergeCell ref="F12:H12"/>
    <mergeCell ref="B6:H6"/>
    <mergeCell ref="I6:N6"/>
    <mergeCell ref="B1:C1"/>
    <mergeCell ref="E1:F1"/>
    <mergeCell ref="B2:D2"/>
    <mergeCell ref="F15:H15"/>
    <mergeCell ref="L15:N15"/>
    <mergeCell ref="F14:H14"/>
    <mergeCell ref="L14:N14"/>
    <mergeCell ref="F13:H13"/>
    <mergeCell ref="L13:N13"/>
    <mergeCell ref="B4:D4"/>
    <mergeCell ref="E4:T4"/>
    <mergeCell ref="E5:T5"/>
    <mergeCell ref="O6:P6"/>
    <mergeCell ref="Q6:U6"/>
    <mergeCell ref="S7:U7"/>
    <mergeCell ref="S8:U8"/>
    <mergeCell ref="F10:H10"/>
    <mergeCell ref="B3:D3"/>
    <mergeCell ref="E2:K2"/>
    <mergeCell ref="E3:K3"/>
    <mergeCell ref="L2:N2"/>
    <mergeCell ref="L3:N3"/>
    <mergeCell ref="O2:T2"/>
    <mergeCell ref="O3:T3"/>
    <mergeCell ref="L12:N12"/>
    <mergeCell ref="X12:Y12"/>
    <mergeCell ref="X9:Y9"/>
    <mergeCell ref="S12:U12"/>
    <mergeCell ref="X11:Y11"/>
    <mergeCell ref="X10:Y10"/>
    <mergeCell ref="B7:H9"/>
    <mergeCell ref="I7:N9"/>
    <mergeCell ref="L10:N10"/>
    <mergeCell ref="S11:U11"/>
    <mergeCell ref="S10:U10"/>
    <mergeCell ref="B19:C19"/>
    <mergeCell ref="H21:H22"/>
    <mergeCell ref="I23:J23"/>
    <mergeCell ref="I24:J24"/>
    <mergeCell ref="D19:H19"/>
    <mergeCell ref="I19:K19"/>
    <mergeCell ref="L23:M23"/>
    <mergeCell ref="L24:M24"/>
    <mergeCell ref="Q13:Y13"/>
    <mergeCell ref="L22:M22"/>
    <mergeCell ref="W19:X19"/>
    <mergeCell ref="Y19:AD19"/>
    <mergeCell ref="W21:Y21"/>
    <mergeCell ref="L19:M19"/>
    <mergeCell ref="Q19:R19"/>
    <mergeCell ref="O31:P31"/>
    <mergeCell ref="O27:P27"/>
    <mergeCell ref="B21:B22"/>
    <mergeCell ref="C21:C22"/>
    <mergeCell ref="D21:E22"/>
    <mergeCell ref="F21:G22"/>
    <mergeCell ref="I21:K21"/>
    <mergeCell ref="I22:J22"/>
    <mergeCell ref="O29:P29"/>
    <mergeCell ref="I28:J28"/>
    <mergeCell ref="I29:J29"/>
    <mergeCell ref="L25:M25"/>
    <mergeCell ref="I25:J25"/>
    <mergeCell ref="C23:C31"/>
    <mergeCell ref="B23:B31"/>
    <mergeCell ref="F23:G31"/>
    <mergeCell ref="D23:E31"/>
    <mergeCell ref="L21:R21"/>
    <mergeCell ref="O22:P22"/>
    <mergeCell ref="I30:J30"/>
    <mergeCell ref="I31:J31"/>
    <mergeCell ref="O26:P26"/>
    <mergeCell ref="L31:M31"/>
    <mergeCell ref="L26:M26"/>
    <mergeCell ref="AF31:AG31"/>
    <mergeCell ref="AF30:AG30"/>
    <mergeCell ref="AF21:AG21"/>
    <mergeCell ref="AF22:AG22"/>
    <mergeCell ref="AC30:AD30"/>
    <mergeCell ref="AC23:AD29"/>
    <mergeCell ref="AC31:AD31"/>
    <mergeCell ref="AF23:AG23"/>
    <mergeCell ref="AF24:AG24"/>
    <mergeCell ref="Z21:AE21"/>
    <mergeCell ref="AF25:AG25"/>
    <mergeCell ref="AF26:AG26"/>
    <mergeCell ref="AA22:AB22"/>
    <mergeCell ref="AC22:AD22"/>
    <mergeCell ref="Z23:Z31"/>
    <mergeCell ref="AA23:AB31"/>
    <mergeCell ref="L27:M27"/>
    <mergeCell ref="L28:M28"/>
    <mergeCell ref="L29:M29"/>
    <mergeCell ref="L30:M30"/>
    <mergeCell ref="O28:P28"/>
    <mergeCell ref="I26:J26"/>
    <mergeCell ref="I27:J27"/>
    <mergeCell ref="O30:P30"/>
    <mergeCell ref="S21:T21"/>
    <mergeCell ref="O23:P23"/>
  </mergeCells>
  <hyperlinks>
    <hyperlink ref="AF31:AG31" location="Hoja2!A1" display="SEGUIMIENTO" xr:uid="{5AC39A4F-FAD9-4D8A-96FA-5AB9221980AF}"/>
  </hyperlink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6F92E2-6F2C-4EF0-A06D-DCE7E2950B0E}">
          <x14:formula1>
            <xm:f>'Datos '!$B$4:$B$8</xm:f>
          </x14:formula1>
          <xm:sqref>AC31:AD31</xm:sqref>
        </x14:dataValidation>
        <x14:dataValidation type="list" allowBlank="1" showInputMessage="1" showErrorMessage="1" xr:uid="{F61B8B96-651A-4EB5-9D18-B8CED53C6654}">
          <x14:formula1>
            <xm:f>'Datos '!$B$12:$B$16</xm:f>
          </x14:formula1>
          <xm:sqref>L23:M31</xm:sqref>
        </x14:dataValidation>
        <x14:dataValidation type="list" allowBlank="1" showInputMessage="1" showErrorMessage="1" xr:uid="{2AD087D7-9B2A-496A-B876-B571AF9E75DD}">
          <x14:formula1>
            <xm:f>'Datos '!$B$20:$B$24</xm:f>
          </x14:formula1>
          <xm:sqref>N23:N31</xm:sqref>
        </x14:dataValidation>
        <x14:dataValidation type="list" allowBlank="1" showInputMessage="1" showErrorMessage="1" xr:uid="{E8444533-D923-4B6E-A5DC-5B22AE38E0E7}">
          <x14:formula1>
            <xm:f>'Datos '!$B$37:$B$39</xm:f>
          </x14:formula1>
          <xm:sqref>AE23:AE31</xm:sqref>
        </x14:dataValidation>
        <x14:dataValidation type="list" allowBlank="1" showInputMessage="1" showErrorMessage="1" xr:uid="{A2739E88-C6C7-4B0C-9BC5-BF0A64F12021}">
          <x14:formula1>
            <xm:f>'Datos '!$B$42:$B$48</xm:f>
          </x14:formula1>
          <xm:sqref>O23:P31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3FE6-C650-43A8-84DC-06A2B98D827A}">
  <sheetPr codeName="Hoja4">
    <tabColor theme="0" tint="-0.14996795556505021"/>
  </sheetPr>
  <dimension ref="A1:IX21"/>
  <sheetViews>
    <sheetView showGridLines="0" workbookViewId="0">
      <selection activeCell="N5" sqref="N5"/>
    </sheetView>
  </sheetViews>
  <sheetFormatPr baseColWidth="10" defaultColWidth="12.5703125" defaultRowHeight="15.75" x14ac:dyDescent="0.25"/>
  <cols>
    <col min="1" max="1" width="3.85546875" style="67" customWidth="1"/>
    <col min="2" max="4" width="26.140625" style="67" customWidth="1"/>
    <col min="5" max="5" width="3.85546875" style="67" customWidth="1"/>
    <col min="6" max="6" width="4.5703125" style="67" customWidth="1"/>
    <col min="7" max="7" width="3.85546875" style="67" customWidth="1"/>
    <col min="8" max="12" width="12.5703125" style="67"/>
    <col min="13" max="13" width="7.42578125" style="67" customWidth="1"/>
    <col min="14" max="14" width="22.7109375" style="67" customWidth="1"/>
    <col min="15" max="15" width="3.85546875" style="67" customWidth="1"/>
    <col min="16" max="16" width="22.7109375" style="67" customWidth="1"/>
    <col min="17" max="17" width="3.85546875" style="67" customWidth="1"/>
    <col min="18" max="16384" width="12.5703125" style="67"/>
  </cols>
  <sheetData>
    <row r="1" spans="1:258" s="66" customFormat="1" ht="42" customHeight="1" x14ac:dyDescent="0.25">
      <c r="A1" s="65"/>
      <c r="B1" s="137" t="s">
        <v>366</v>
      </c>
      <c r="C1" s="67"/>
      <c r="D1" s="67"/>
      <c r="E1" s="67"/>
      <c r="F1" s="65"/>
      <c r="G1" s="67"/>
      <c r="H1" s="67"/>
      <c r="I1" s="67"/>
      <c r="J1" s="67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</row>
    <row r="2" spans="1:258" ht="24.95" customHeight="1" thickBot="1" x14ac:dyDescent="0.3">
      <c r="B2" s="100" t="s">
        <v>367</v>
      </c>
      <c r="C2" s="100" t="s">
        <v>368</v>
      </c>
      <c r="D2" s="100" t="s">
        <v>311</v>
      </c>
      <c r="E2" s="138"/>
      <c r="G2" s="122"/>
      <c r="H2" s="139">
        <v>1</v>
      </c>
      <c r="I2" s="139">
        <v>2</v>
      </c>
      <c r="J2" s="139">
        <v>3</v>
      </c>
      <c r="K2" s="139">
        <v>4</v>
      </c>
      <c r="L2" s="139">
        <v>5</v>
      </c>
      <c r="M2" s="140"/>
      <c r="O2" s="72"/>
    </row>
    <row r="3" spans="1:258" ht="24.95" customHeight="1" x14ac:dyDescent="0.25">
      <c r="B3" s="141" t="s">
        <v>381</v>
      </c>
      <c r="C3" s="142" t="s">
        <v>369</v>
      </c>
      <c r="D3" s="143" t="s">
        <v>370</v>
      </c>
      <c r="E3" s="144"/>
      <c r="G3" s="122">
        <v>1</v>
      </c>
      <c r="H3" s="145">
        <f>H2*$G$3</f>
        <v>1</v>
      </c>
      <c r="I3" s="145">
        <f>I2*$G$3</f>
        <v>2</v>
      </c>
      <c r="J3" s="146">
        <f>J2*$G$3</f>
        <v>3</v>
      </c>
      <c r="K3" s="146">
        <f>K2*$G$3</f>
        <v>4</v>
      </c>
      <c r="L3" s="146">
        <f>L2*$G$3</f>
        <v>5</v>
      </c>
      <c r="M3" s="144"/>
      <c r="O3" s="79"/>
    </row>
    <row r="4" spans="1:258" ht="24.95" customHeight="1" x14ac:dyDescent="0.25">
      <c r="B4" s="147" t="s">
        <v>380</v>
      </c>
      <c r="C4" s="148" t="s">
        <v>385</v>
      </c>
      <c r="D4" s="108" t="s">
        <v>371</v>
      </c>
      <c r="E4" s="144"/>
      <c r="G4" s="122">
        <v>2</v>
      </c>
      <c r="H4" s="145">
        <f>H2*$G$4</f>
        <v>2</v>
      </c>
      <c r="I4" s="146">
        <f>I2*$G$4</f>
        <v>4</v>
      </c>
      <c r="J4" s="146">
        <f>J2*$G$4</f>
        <v>6</v>
      </c>
      <c r="K4" s="146">
        <f>K2*$G$4</f>
        <v>8</v>
      </c>
      <c r="L4" s="149">
        <f>L2*$G$4</f>
        <v>10</v>
      </c>
      <c r="M4" s="144"/>
      <c r="O4" s="79"/>
    </row>
    <row r="5" spans="1:258" ht="24.95" customHeight="1" x14ac:dyDescent="0.25">
      <c r="B5" s="150" t="s">
        <v>382</v>
      </c>
      <c r="C5" s="151" t="s">
        <v>372</v>
      </c>
      <c r="D5" s="111" t="s">
        <v>373</v>
      </c>
      <c r="E5" s="144"/>
      <c r="G5" s="122">
        <v>4</v>
      </c>
      <c r="H5" s="146">
        <f>H2*$G$5</f>
        <v>4</v>
      </c>
      <c r="I5" s="146">
        <f>I2*$G$5</f>
        <v>8</v>
      </c>
      <c r="J5" s="149">
        <f>J2*$G$5</f>
        <v>12</v>
      </c>
      <c r="K5" s="149">
        <f>K2*$G$5</f>
        <v>16</v>
      </c>
      <c r="L5" s="152">
        <f>L2*$G$5</f>
        <v>20</v>
      </c>
      <c r="M5" s="144"/>
      <c r="O5" s="79"/>
    </row>
    <row r="6" spans="1:258" ht="24.95" customHeight="1" x14ac:dyDescent="0.25">
      <c r="B6" s="153" t="s">
        <v>383</v>
      </c>
      <c r="C6" s="154" t="s">
        <v>386</v>
      </c>
      <c r="D6" s="114" t="s">
        <v>374</v>
      </c>
      <c r="E6" s="144"/>
      <c r="G6" s="122">
        <v>8</v>
      </c>
      <c r="H6" s="146">
        <f>H2*$G$6</f>
        <v>8</v>
      </c>
      <c r="I6" s="149">
        <f>I2*$G$6</f>
        <v>16</v>
      </c>
      <c r="J6" s="152">
        <f>J2*$G$6</f>
        <v>24</v>
      </c>
      <c r="K6" s="152">
        <f>K2*$G$6</f>
        <v>32</v>
      </c>
      <c r="L6" s="155">
        <f>L2*$G$6</f>
        <v>40</v>
      </c>
      <c r="M6" s="144"/>
      <c r="O6" s="79"/>
    </row>
    <row r="7" spans="1:258" ht="24.95" customHeight="1" x14ac:dyDescent="0.25">
      <c r="B7" s="156" t="s">
        <v>384</v>
      </c>
      <c r="C7" s="157" t="s">
        <v>387</v>
      </c>
      <c r="D7" s="118" t="s">
        <v>388</v>
      </c>
      <c r="G7" s="122">
        <v>16</v>
      </c>
      <c r="H7" s="149">
        <f>H2*$G$7</f>
        <v>16</v>
      </c>
      <c r="I7" s="152">
        <f>I2*$G$7</f>
        <v>32</v>
      </c>
      <c r="J7" s="155">
        <f>J2*$G$7</f>
        <v>48</v>
      </c>
      <c r="K7" s="155">
        <f>K2*$G$7</f>
        <v>64</v>
      </c>
      <c r="L7" s="155">
        <f>L2*$G$7</f>
        <v>80</v>
      </c>
      <c r="O7" s="96"/>
    </row>
    <row r="8" spans="1:258" ht="20.25" customHeight="1" x14ac:dyDescent="0.25">
      <c r="C8" s="230" t="s">
        <v>391</v>
      </c>
      <c r="D8" s="118" t="s">
        <v>389</v>
      </c>
      <c r="G8" s="122">
        <v>32</v>
      </c>
      <c r="H8" s="149">
        <f>H3*$G$8</f>
        <v>32</v>
      </c>
      <c r="I8" s="152">
        <f>I3*$G$8</f>
        <v>64</v>
      </c>
      <c r="J8" s="155">
        <f>J3*$G$8</f>
        <v>96</v>
      </c>
      <c r="K8" s="155">
        <f>K3*$G$8</f>
        <v>128</v>
      </c>
      <c r="L8" s="155">
        <f>L3*$G$8</f>
        <v>160</v>
      </c>
    </row>
    <row r="9" spans="1:258" ht="27" customHeight="1" x14ac:dyDescent="0.25">
      <c r="C9" s="231" t="s">
        <v>392</v>
      </c>
      <c r="D9" s="118" t="s">
        <v>390</v>
      </c>
      <c r="G9" s="122">
        <v>64</v>
      </c>
      <c r="H9" s="149">
        <f>H4*$G$9</f>
        <v>128</v>
      </c>
      <c r="I9" s="152">
        <f>I4*$G$9</f>
        <v>256</v>
      </c>
      <c r="J9" s="155">
        <f>J4*$G$9</f>
        <v>384</v>
      </c>
      <c r="K9" s="155">
        <f>K4*$G$9</f>
        <v>512</v>
      </c>
      <c r="L9" s="155">
        <f>L4*$G$9</f>
        <v>640</v>
      </c>
    </row>
    <row r="10" spans="1:258" ht="24.95" customHeight="1" thickBot="1" x14ac:dyDescent="0.3"/>
    <row r="11" spans="1:258" ht="24.95" customHeight="1" x14ac:dyDescent="0.25">
      <c r="B11" s="158" t="s">
        <v>375</v>
      </c>
      <c r="C11" s="158" t="s">
        <v>376</v>
      </c>
    </row>
    <row r="12" spans="1:258" ht="24.95" customHeight="1" x14ac:dyDescent="0.25">
      <c r="B12" s="159">
        <v>1</v>
      </c>
      <c r="C12" s="160">
        <v>1</v>
      </c>
    </row>
    <row r="13" spans="1:258" ht="24.95" customHeight="1" x14ac:dyDescent="0.25">
      <c r="B13" s="161">
        <v>2</v>
      </c>
      <c r="C13" s="162">
        <v>2</v>
      </c>
    </row>
    <row r="14" spans="1:258" ht="24.95" customHeight="1" x14ac:dyDescent="0.25">
      <c r="B14" s="163">
        <v>3</v>
      </c>
      <c r="C14" s="164">
        <v>4</v>
      </c>
    </row>
    <row r="15" spans="1:258" x14ac:dyDescent="0.25">
      <c r="B15" s="165">
        <v>4</v>
      </c>
      <c r="C15" s="166">
        <v>8</v>
      </c>
    </row>
    <row r="16" spans="1:258" ht="24.95" customHeight="1" x14ac:dyDescent="0.25">
      <c r="B16" s="167">
        <v>5</v>
      </c>
      <c r="C16" s="232">
        <v>16</v>
      </c>
    </row>
    <row r="17" spans="2:3" ht="24.95" customHeight="1" thickBot="1" x14ac:dyDescent="0.3">
      <c r="C17" s="233">
        <v>32</v>
      </c>
    </row>
    <row r="18" spans="2:3" ht="24.95" customHeight="1" x14ac:dyDescent="0.25">
      <c r="B18" s="168" t="s">
        <v>289</v>
      </c>
      <c r="C18" s="234">
        <v>64</v>
      </c>
    </row>
    <row r="19" spans="2:3" ht="24.95" customHeight="1" x14ac:dyDescent="0.25">
      <c r="B19" s="169" t="s">
        <v>377</v>
      </c>
    </row>
    <row r="20" spans="2:3" x14ac:dyDescent="0.25">
      <c r="B20" s="169" t="s">
        <v>378</v>
      </c>
    </row>
    <row r="21" spans="2:3" x14ac:dyDescent="0.25">
      <c r="B21" s="169" t="s">
        <v>379</v>
      </c>
    </row>
  </sheetData>
  <conditionalFormatting sqref="B19:B21">
    <cfRule type="containsText" dxfId="32" priority="1" operator="containsText" text="MITIGAR">
      <formula>NOT(ISERROR(SEARCH("MITIGAR",B19)))</formula>
    </cfRule>
    <cfRule type="containsText" dxfId="31" priority="2" operator="containsText" text="TRANSFERIR">
      <formula>NOT(ISERROR(SEARCH("TRANSFERIR",B19)))</formula>
    </cfRule>
    <cfRule type="containsText" dxfId="30" priority="3" operator="containsText" text="EVITAR">
      <formula>NOT(ISERROR(SEARCH("EVITAR",B19)))</formula>
    </cfRule>
  </conditionalFormatting>
  <pageMargins left="0.7" right="0.7" top="0.75" bottom="0.75" header="0.3" footer="0.3"/>
  <pageSetup orientation="portrait" horizontalDpi="1200" verticalDpi="1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C2572-440F-4B19-AB65-7768A7D0DBCE}">
  <sheetPr codeName="Hoja5">
    <tabColor theme="3" tint="0.59999389629810485"/>
    <pageSetUpPr fitToPage="1"/>
  </sheetPr>
  <dimension ref="A1:IS39"/>
  <sheetViews>
    <sheetView showGridLines="0" workbookViewId="0">
      <pane ySplit="1" topLeftCell="A3" activePane="bottomLeft" state="frozen"/>
      <selection pane="bottomLeft" activeCell="L5" sqref="L5"/>
    </sheetView>
  </sheetViews>
  <sheetFormatPr baseColWidth="10" defaultColWidth="12.5703125" defaultRowHeight="15.75" x14ac:dyDescent="0.25"/>
  <cols>
    <col min="1" max="1" width="3.85546875" style="67" customWidth="1"/>
    <col min="2" max="2" width="11" style="134" customWidth="1"/>
    <col min="3" max="3" width="18.7109375" style="135" customWidth="1"/>
    <col min="4" max="4" width="48.85546875" style="134" customWidth="1"/>
    <col min="5" max="5" width="17.28515625" style="135" customWidth="1"/>
    <col min="6" max="6" width="14.7109375" style="134" customWidth="1"/>
    <col min="7" max="7" width="35.5703125" style="134" customWidth="1"/>
    <col min="8" max="9" width="15.85546875" style="134" customWidth="1"/>
    <col min="10" max="10" width="6.7109375" style="134" customWidth="1"/>
    <col min="11" max="11" width="3.85546875" style="67" customWidth="1"/>
    <col min="12" max="16384" width="12.5703125" style="67"/>
  </cols>
  <sheetData>
    <row r="1" spans="1:253" s="66" customFormat="1" ht="60" customHeight="1" x14ac:dyDescent="0.25">
      <c r="A1" s="65"/>
      <c r="B1" s="428"/>
      <c r="C1" s="428"/>
      <c r="D1" s="428"/>
      <c r="E1" s="428"/>
      <c r="F1" s="428"/>
      <c r="G1" s="428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</row>
    <row r="2" spans="1:253" ht="48" customHeight="1" x14ac:dyDescent="0.25">
      <c r="B2" s="429" t="s">
        <v>310</v>
      </c>
      <c r="C2" s="430"/>
      <c r="D2" s="430"/>
      <c r="E2" s="430"/>
      <c r="F2" s="430"/>
      <c r="G2" s="430"/>
      <c r="H2" s="430"/>
      <c r="I2" s="430"/>
      <c r="J2" s="430"/>
    </row>
    <row r="3" spans="1:253" ht="50.1" customHeight="1" x14ac:dyDescent="0.25">
      <c r="B3" s="68"/>
      <c r="C3" s="69"/>
      <c r="D3" s="70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68"/>
      <c r="L3" s="72"/>
    </row>
    <row r="4" spans="1:253" ht="50.1" customHeight="1" x14ac:dyDescent="0.25">
      <c r="B4" s="73"/>
      <c r="C4" s="69"/>
      <c r="D4" s="74">
        <v>1</v>
      </c>
      <c r="E4" s="75">
        <f>IFERROR(G11/$I$15,"–")</f>
        <v>0.63888888888888884</v>
      </c>
      <c r="F4" s="76"/>
      <c r="G4" s="77"/>
      <c r="H4" s="77"/>
      <c r="I4" s="78"/>
      <c r="J4" s="73"/>
      <c r="L4" s="79"/>
    </row>
    <row r="5" spans="1:253" ht="50.1" customHeight="1" x14ac:dyDescent="0.25">
      <c r="B5" s="73"/>
      <c r="C5" s="69"/>
      <c r="D5" s="74">
        <v>2</v>
      </c>
      <c r="E5" s="80"/>
      <c r="F5" s="81">
        <f>IFERROR(G12/$I$15,"–")</f>
        <v>0.33333333333333331</v>
      </c>
      <c r="G5" s="82"/>
      <c r="H5" s="82"/>
      <c r="I5" s="83"/>
      <c r="J5" s="73"/>
      <c r="L5" s="79"/>
    </row>
    <row r="6" spans="1:253" ht="50.1" customHeight="1" thickBot="1" x14ac:dyDescent="0.3">
      <c r="B6" s="73"/>
      <c r="C6" s="69"/>
      <c r="D6" s="74">
        <v>4</v>
      </c>
      <c r="E6" s="84"/>
      <c r="F6" s="82"/>
      <c r="G6" s="85">
        <f>IFERROR(G13/$I$15,"–")</f>
        <v>0</v>
      </c>
      <c r="H6" s="86"/>
      <c r="I6" s="87"/>
      <c r="J6" s="73"/>
      <c r="L6" s="79"/>
    </row>
    <row r="7" spans="1:253" ht="50.1" customHeight="1" thickBot="1" x14ac:dyDescent="0.3">
      <c r="B7" s="73"/>
      <c r="C7" s="69"/>
      <c r="D7" s="74">
        <v>8</v>
      </c>
      <c r="E7" s="88"/>
      <c r="F7" s="83"/>
      <c r="G7" s="89"/>
      <c r="H7" s="90">
        <f>IFERROR(G14/$I$15,"–")</f>
        <v>0</v>
      </c>
      <c r="I7" s="91"/>
      <c r="J7" s="73"/>
      <c r="L7" s="196" t="s">
        <v>266</v>
      </c>
      <c r="M7" s="197" t="s">
        <v>270</v>
      </c>
      <c r="N7" s="198" t="s">
        <v>267</v>
      </c>
      <c r="O7" s="197" t="s">
        <v>271</v>
      </c>
      <c r="P7" s="198" t="s">
        <v>268</v>
      </c>
      <c r="Q7" s="434" t="s">
        <v>272</v>
      </c>
      <c r="R7" s="435"/>
      <c r="S7" s="199" t="s">
        <v>269</v>
      </c>
      <c r="T7" s="200" t="s">
        <v>273</v>
      </c>
    </row>
    <row r="8" spans="1:253" ht="50.1" customHeight="1" thickBot="1" x14ac:dyDescent="0.3">
      <c r="B8" s="69"/>
      <c r="C8" s="69"/>
      <c r="D8" s="74">
        <v>16</v>
      </c>
      <c r="E8" s="92"/>
      <c r="F8" s="93"/>
      <c r="G8" s="94"/>
      <c r="H8" s="94"/>
      <c r="I8" s="95">
        <f>IFERROR(G15/$I$15,"–")</f>
        <v>2.7777777777777776E-2</v>
      </c>
      <c r="J8" s="69"/>
      <c r="L8" s="206" t="s">
        <v>300</v>
      </c>
      <c r="M8" s="207" t="s">
        <v>9</v>
      </c>
      <c r="N8" s="208"/>
      <c r="O8" s="209" t="s">
        <v>16</v>
      </c>
      <c r="P8" s="209"/>
      <c r="Q8" s="403" t="s">
        <v>20</v>
      </c>
      <c r="R8" s="404"/>
      <c r="S8" s="210"/>
      <c r="T8" s="203" t="s">
        <v>25</v>
      </c>
    </row>
    <row r="9" spans="1:253" ht="15.95" customHeight="1" x14ac:dyDescent="0.25">
      <c r="B9" s="97"/>
      <c r="C9" s="98"/>
      <c r="D9" s="97"/>
      <c r="E9" s="98"/>
      <c r="F9" s="97"/>
      <c r="G9" s="97"/>
      <c r="H9" s="97"/>
      <c r="I9" s="97"/>
      <c r="J9" s="97"/>
    </row>
    <row r="10" spans="1:253" ht="24.95" customHeight="1" thickBot="1" x14ac:dyDescent="0.3">
      <c r="B10" s="99"/>
      <c r="C10" s="99"/>
      <c r="D10" s="99"/>
      <c r="E10" s="431" t="s">
        <v>311</v>
      </c>
      <c r="F10" s="431"/>
      <c r="G10" s="101" t="s">
        <v>312</v>
      </c>
      <c r="H10" s="102"/>
      <c r="I10" s="69"/>
      <c r="J10" s="69"/>
    </row>
    <row r="11" spans="1:253" ht="24.95" customHeight="1" x14ac:dyDescent="0.25">
      <c r="B11" s="99"/>
      <c r="C11" s="99"/>
      <c r="D11" s="432"/>
      <c r="E11" s="103" t="s">
        <v>313</v>
      </c>
      <c r="F11" s="104" t="s">
        <v>314</v>
      </c>
      <c r="G11" s="105">
        <v>23</v>
      </c>
      <c r="H11" s="106"/>
      <c r="I11" s="69"/>
      <c r="J11" s="69"/>
    </row>
    <row r="12" spans="1:253" ht="24.95" customHeight="1" x14ac:dyDescent="0.25">
      <c r="B12" s="99"/>
      <c r="C12" s="99"/>
      <c r="D12" s="432"/>
      <c r="E12" s="107" t="s">
        <v>315</v>
      </c>
      <c r="F12" s="108" t="s">
        <v>316</v>
      </c>
      <c r="G12" s="109">
        <f>COUNTIFS(G22:G35,"&gt;=3",G22:G35,"&lt;=8")</f>
        <v>12</v>
      </c>
      <c r="H12" s="106"/>
      <c r="I12" s="69"/>
      <c r="J12" s="69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53" ht="24.95" customHeight="1" x14ac:dyDescent="0.25">
      <c r="B13" s="99"/>
      <c r="C13" s="99"/>
      <c r="D13" s="432"/>
      <c r="E13" s="110" t="s">
        <v>317</v>
      </c>
      <c r="F13" s="111" t="s">
        <v>318</v>
      </c>
      <c r="G13" s="112">
        <f>COUNTIFS(G22:G35,"&gt;=10",G22:G35,"&lt;=16")</f>
        <v>0</v>
      </c>
      <c r="H13" s="106"/>
      <c r="I13" s="69"/>
      <c r="J13" s="69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53" ht="24.95" customHeight="1" x14ac:dyDescent="0.25">
      <c r="B14" s="99"/>
      <c r="C14" s="99"/>
      <c r="D14" s="432"/>
      <c r="E14" s="113" t="s">
        <v>319</v>
      </c>
      <c r="F14" s="114" t="s">
        <v>320</v>
      </c>
      <c r="G14" s="115">
        <f>COUNTIFS(G22:G35,"&gt;=20",G22:G35,"&lt;=32")</f>
        <v>0</v>
      </c>
      <c r="H14" s="106"/>
      <c r="I14" s="116" t="s">
        <v>321</v>
      </c>
      <c r="J14" s="69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53" ht="24.95" customHeight="1" x14ac:dyDescent="0.25">
      <c r="B15" s="99"/>
      <c r="C15" s="99"/>
      <c r="D15" s="432"/>
      <c r="E15" s="117" t="s">
        <v>322</v>
      </c>
      <c r="F15" s="118" t="s">
        <v>323</v>
      </c>
      <c r="G15" s="119">
        <f>COUNTIFS(G22:G35,"&gt;=40",G22:G35,"&lt;=80")</f>
        <v>1</v>
      </c>
      <c r="H15" s="106"/>
      <c r="I15" s="120">
        <f>SUM(G11:G15)</f>
        <v>36</v>
      </c>
      <c r="J15" s="69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53" ht="20.100000000000001" customHeight="1" x14ac:dyDescent="0.25">
      <c r="B16" s="97"/>
      <c r="C16" s="97"/>
      <c r="D16" s="97"/>
      <c r="E16" s="97"/>
      <c r="F16" s="97"/>
      <c r="G16" s="121"/>
      <c r="H16" s="69"/>
      <c r="I16" s="69"/>
      <c r="J16" s="69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53" ht="24" customHeight="1" x14ac:dyDescent="0.25">
      <c r="B17" s="433"/>
      <c r="C17" s="433"/>
      <c r="D17" s="433"/>
      <c r="E17" s="433"/>
      <c r="F17" s="433"/>
      <c r="G17" s="433"/>
      <c r="H17" s="433"/>
      <c r="I17" s="433"/>
      <c r="J17" s="69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53" x14ac:dyDescent="0.25">
      <c r="B18" s="67"/>
      <c r="C18" s="67"/>
      <c r="D18" s="122"/>
      <c r="E18" s="122"/>
      <c r="F18" s="122"/>
      <c r="G18" s="122"/>
      <c r="H18" s="122"/>
      <c r="I18" s="122"/>
      <c r="J18" s="67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53" s="66" customFormat="1" ht="32.1" customHeight="1" x14ac:dyDescent="0.25">
      <c r="A19" s="65"/>
      <c r="B19" s="123" t="s">
        <v>325</v>
      </c>
      <c r="C19" s="67"/>
      <c r="D19" s="67"/>
      <c r="E19" s="67"/>
      <c r="F19" s="67"/>
      <c r="G19" s="67"/>
      <c r="H19" s="65"/>
      <c r="I19" s="65"/>
      <c r="J19" s="65"/>
      <c r="K19" s="65"/>
      <c r="L19" s="65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A19" s="65"/>
      <c r="EB19" s="65"/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  <c r="EQ19" s="65"/>
      <c r="ER19" s="65"/>
      <c r="ES19" s="65"/>
      <c r="ET19" s="65"/>
      <c r="EU19" s="65"/>
      <c r="EV19" s="65"/>
      <c r="EW19" s="65"/>
      <c r="EX19" s="65"/>
      <c r="EY19" s="65"/>
      <c r="EZ19" s="65"/>
      <c r="FA19" s="65"/>
      <c r="FB19" s="65"/>
      <c r="FC19" s="65"/>
      <c r="FD19" s="65"/>
      <c r="FE19" s="65"/>
      <c r="FF19" s="65"/>
      <c r="FG19" s="65"/>
      <c r="FH19" s="65"/>
      <c r="FI19" s="65"/>
      <c r="FJ19" s="65"/>
      <c r="FK19" s="65"/>
      <c r="FL19" s="65"/>
      <c r="FM19" s="65"/>
      <c r="FN19" s="65"/>
      <c r="FO19" s="65"/>
      <c r="FP19" s="65"/>
      <c r="FQ19" s="65"/>
      <c r="FR19" s="65"/>
      <c r="FS19" s="65"/>
      <c r="FT19" s="65"/>
      <c r="FU19" s="65"/>
      <c r="FV19" s="65"/>
      <c r="FW19" s="65"/>
      <c r="FX19" s="65"/>
      <c r="FY19" s="65"/>
      <c r="FZ19" s="65"/>
      <c r="GA19" s="65"/>
      <c r="GB19" s="65"/>
      <c r="GC19" s="65"/>
      <c r="GD19" s="65"/>
      <c r="GE19" s="65"/>
      <c r="GF19" s="65"/>
      <c r="GG19" s="65"/>
      <c r="GH19" s="65"/>
      <c r="GI19" s="65"/>
      <c r="GJ19" s="65"/>
      <c r="GK19" s="65"/>
      <c r="GL19" s="65"/>
      <c r="GM19" s="65"/>
      <c r="GN19" s="65"/>
      <c r="GO19" s="65"/>
      <c r="GP19" s="65"/>
      <c r="GQ19" s="65"/>
      <c r="GR19" s="65"/>
      <c r="GS19" s="65"/>
      <c r="GT19" s="65"/>
      <c r="GU19" s="65"/>
      <c r="GV19" s="65"/>
      <c r="GW19" s="65"/>
      <c r="GX19" s="65"/>
      <c r="GY19" s="65"/>
      <c r="GZ19" s="65"/>
      <c r="HA19" s="65"/>
      <c r="HB19" s="65"/>
      <c r="HC19" s="65"/>
      <c r="HD19" s="65"/>
      <c r="HE19" s="65"/>
      <c r="HF19" s="65"/>
      <c r="HG19" s="65"/>
      <c r="HH19" s="65"/>
      <c r="HI19" s="65"/>
      <c r="HJ19" s="65"/>
      <c r="HK19" s="65"/>
      <c r="HL19" s="65"/>
      <c r="HM19" s="65"/>
      <c r="HN19" s="65"/>
      <c r="HO19" s="65"/>
      <c r="HP19" s="65"/>
      <c r="HQ19" s="65"/>
      <c r="HR19" s="65"/>
      <c r="HS19" s="65"/>
      <c r="HT19" s="65"/>
      <c r="HU19" s="65"/>
      <c r="HV19" s="65"/>
      <c r="HW19" s="65"/>
      <c r="HX19" s="65"/>
      <c r="HY19" s="65"/>
      <c r="HZ19" s="65"/>
      <c r="IA19" s="65"/>
      <c r="IB19" s="65"/>
      <c r="IC19" s="65"/>
      <c r="ID19" s="65"/>
      <c r="IE19" s="65"/>
      <c r="IF19" s="65"/>
      <c r="IG19" s="65"/>
      <c r="IH19" s="65"/>
      <c r="II19" s="65"/>
      <c r="IJ19" s="65"/>
      <c r="IK19" s="65"/>
      <c r="IL19" s="65"/>
      <c r="IM19" s="65"/>
      <c r="IN19" s="65"/>
      <c r="IO19" s="65"/>
      <c r="IP19" s="65"/>
      <c r="IQ19" s="65"/>
      <c r="IR19" s="65"/>
      <c r="IS19" s="65"/>
    </row>
    <row r="20" spans="1:253" ht="30" customHeight="1" x14ac:dyDescent="0.25">
      <c r="B20" s="420" t="s">
        <v>326</v>
      </c>
      <c r="C20" s="420"/>
      <c r="D20" s="420"/>
      <c r="E20" s="421" t="s">
        <v>327</v>
      </c>
      <c r="F20" s="421"/>
      <c r="G20" s="421"/>
      <c r="H20" s="67"/>
      <c r="I20" s="67"/>
      <c r="J20" s="67"/>
    </row>
    <row r="21" spans="1:253" s="128" customFormat="1" ht="54.95" customHeight="1" x14ac:dyDescent="0.25">
      <c r="A21" s="124"/>
      <c r="B21" s="125" t="s">
        <v>328</v>
      </c>
      <c r="C21" s="126" t="s">
        <v>329</v>
      </c>
      <c r="D21" s="125" t="s">
        <v>330</v>
      </c>
      <c r="E21" s="127" t="s">
        <v>331</v>
      </c>
      <c r="F21" s="127" t="s">
        <v>332</v>
      </c>
      <c r="G21" s="127" t="s">
        <v>333</v>
      </c>
      <c r="H21" s="422" t="s">
        <v>334</v>
      </c>
      <c r="I21" s="423"/>
      <c r="J21" s="424"/>
      <c r="K21" s="124"/>
      <c r="V21" s="67"/>
      <c r="W21" s="67"/>
      <c r="X21" s="67"/>
      <c r="Y21" s="67"/>
      <c r="Z21" s="67"/>
      <c r="AA21" s="67"/>
    </row>
    <row r="22" spans="1:253" ht="30" customHeight="1" x14ac:dyDescent="0.25">
      <c r="B22" s="129" t="s">
        <v>335</v>
      </c>
      <c r="C22" s="130">
        <f>Formato!C23</f>
        <v>45854</v>
      </c>
      <c r="D22" s="131" t="str">
        <f>Formato!F23</f>
        <v xml:space="preserve">Ingreso a traves de la cerca colindante con calle Luke en Mississauga </v>
      </c>
      <c r="E22" s="235" t="e">
        <f>Formato!#REF!</f>
        <v>#REF!</v>
      </c>
      <c r="F22" s="235" t="e">
        <f>Formato!#REF!</f>
        <v>#REF!</v>
      </c>
      <c r="G22" s="236" t="e">
        <f t="shared" ref="G22:G35" si="0">E22*F22</f>
        <v>#REF!</v>
      </c>
      <c r="H22" s="425"/>
      <c r="I22" s="426"/>
      <c r="J22" s="427"/>
    </row>
    <row r="23" spans="1:253" ht="30" customHeight="1" x14ac:dyDescent="0.25">
      <c r="B23" s="131" t="s">
        <v>336</v>
      </c>
      <c r="C23" s="130"/>
      <c r="D23" s="131"/>
      <c r="E23" s="132">
        <v>5</v>
      </c>
      <c r="F23" s="132">
        <v>16</v>
      </c>
      <c r="G23" s="133">
        <f t="shared" si="0"/>
        <v>80</v>
      </c>
      <c r="H23" s="425"/>
      <c r="I23" s="426"/>
      <c r="J23" s="427"/>
    </row>
    <row r="24" spans="1:253" ht="30" customHeight="1" x14ac:dyDescent="0.25">
      <c r="B24" s="131" t="s">
        <v>337</v>
      </c>
      <c r="C24" s="130"/>
      <c r="D24" s="131"/>
      <c r="E24" s="132">
        <v>5</v>
      </c>
      <c r="F24" s="132">
        <v>1</v>
      </c>
      <c r="G24" s="133">
        <f t="shared" si="0"/>
        <v>5</v>
      </c>
      <c r="H24" s="425"/>
      <c r="I24" s="426"/>
      <c r="J24" s="427"/>
    </row>
    <row r="25" spans="1:253" ht="30" customHeight="1" x14ac:dyDescent="0.25">
      <c r="B25" s="131" t="s">
        <v>338</v>
      </c>
      <c r="C25" s="130"/>
      <c r="D25" s="131"/>
      <c r="E25" s="132">
        <v>4</v>
      </c>
      <c r="F25" s="132">
        <v>2</v>
      </c>
      <c r="G25" s="133">
        <f t="shared" si="0"/>
        <v>8</v>
      </c>
      <c r="H25" s="425"/>
      <c r="I25" s="426"/>
      <c r="J25" s="427"/>
    </row>
    <row r="26" spans="1:253" ht="30" customHeight="1" x14ac:dyDescent="0.25">
      <c r="B26" s="131" t="s">
        <v>339</v>
      </c>
      <c r="C26" s="130"/>
      <c r="D26" s="131"/>
      <c r="E26" s="132">
        <v>5</v>
      </c>
      <c r="F26" s="132">
        <v>1</v>
      </c>
      <c r="G26" s="133">
        <f t="shared" si="0"/>
        <v>5</v>
      </c>
      <c r="H26" s="425"/>
      <c r="I26" s="426"/>
      <c r="J26" s="427"/>
    </row>
    <row r="27" spans="1:253" ht="30" customHeight="1" x14ac:dyDescent="0.25">
      <c r="B27" s="131" t="s">
        <v>340</v>
      </c>
      <c r="C27" s="130"/>
      <c r="D27" s="131"/>
      <c r="E27" s="132">
        <v>3</v>
      </c>
      <c r="F27" s="132">
        <v>1</v>
      </c>
      <c r="G27" s="133">
        <f t="shared" si="0"/>
        <v>3</v>
      </c>
      <c r="H27" s="425"/>
      <c r="I27" s="426"/>
      <c r="J27" s="427"/>
    </row>
    <row r="28" spans="1:253" ht="30" customHeight="1" x14ac:dyDescent="0.25">
      <c r="B28" s="131" t="s">
        <v>341</v>
      </c>
      <c r="C28" s="130"/>
      <c r="D28" s="131"/>
      <c r="E28" s="132">
        <v>4</v>
      </c>
      <c r="F28" s="132">
        <v>1</v>
      </c>
      <c r="G28" s="133">
        <f t="shared" si="0"/>
        <v>4</v>
      </c>
      <c r="H28" s="425"/>
      <c r="I28" s="426"/>
      <c r="J28" s="427"/>
    </row>
    <row r="29" spans="1:253" ht="30" customHeight="1" x14ac:dyDescent="0.25">
      <c r="B29" s="131" t="s">
        <v>342</v>
      </c>
      <c r="C29" s="130"/>
      <c r="D29" s="131"/>
      <c r="E29" s="132">
        <v>5</v>
      </c>
      <c r="F29" s="132">
        <v>1</v>
      </c>
      <c r="G29" s="133">
        <f t="shared" si="0"/>
        <v>5</v>
      </c>
      <c r="H29" s="425"/>
      <c r="I29" s="426"/>
      <c r="J29" s="427"/>
    </row>
    <row r="30" spans="1:253" ht="30" customHeight="1" x14ac:dyDescent="0.25">
      <c r="B30" s="131" t="s">
        <v>343</v>
      </c>
      <c r="C30" s="130"/>
      <c r="D30" s="131"/>
      <c r="E30" s="132">
        <v>3</v>
      </c>
      <c r="F30" s="132">
        <v>1</v>
      </c>
      <c r="G30" s="133">
        <f t="shared" si="0"/>
        <v>3</v>
      </c>
      <c r="H30" s="425"/>
      <c r="I30" s="426"/>
      <c r="J30" s="427"/>
    </row>
    <row r="31" spans="1:253" ht="30" customHeight="1" x14ac:dyDescent="0.25">
      <c r="B31" s="131" t="s">
        <v>344</v>
      </c>
      <c r="C31" s="130"/>
      <c r="D31" s="131"/>
      <c r="E31" s="132">
        <v>2</v>
      </c>
      <c r="F31" s="132">
        <v>3</v>
      </c>
      <c r="G31" s="133">
        <f t="shared" si="0"/>
        <v>6</v>
      </c>
      <c r="H31" s="425"/>
      <c r="I31" s="426"/>
      <c r="J31" s="427"/>
    </row>
    <row r="32" spans="1:253" ht="30" customHeight="1" x14ac:dyDescent="0.25">
      <c r="B32" s="131" t="s">
        <v>345</v>
      </c>
      <c r="C32" s="130"/>
      <c r="D32" s="131"/>
      <c r="E32" s="132">
        <v>4</v>
      </c>
      <c r="F32" s="132">
        <v>2</v>
      </c>
      <c r="G32" s="133">
        <f t="shared" si="0"/>
        <v>8</v>
      </c>
      <c r="H32" s="425"/>
      <c r="I32" s="426"/>
      <c r="J32" s="427"/>
    </row>
    <row r="33" spans="2:10" ht="30" customHeight="1" x14ac:dyDescent="0.25">
      <c r="B33" s="131" t="s">
        <v>346</v>
      </c>
      <c r="C33" s="130"/>
      <c r="D33" s="131"/>
      <c r="E33" s="132">
        <v>3</v>
      </c>
      <c r="F33" s="132">
        <v>1</v>
      </c>
      <c r="G33" s="133">
        <f t="shared" si="0"/>
        <v>3</v>
      </c>
      <c r="H33" s="425"/>
      <c r="I33" s="426"/>
      <c r="J33" s="427"/>
    </row>
    <row r="34" spans="2:10" ht="30" customHeight="1" x14ac:dyDescent="0.25">
      <c r="B34" s="131" t="s">
        <v>347</v>
      </c>
      <c r="C34" s="130"/>
      <c r="D34" s="131"/>
      <c r="E34" s="132">
        <v>4</v>
      </c>
      <c r="F34" s="132">
        <v>1</v>
      </c>
      <c r="G34" s="133">
        <f t="shared" si="0"/>
        <v>4</v>
      </c>
      <c r="H34" s="425"/>
      <c r="I34" s="426"/>
      <c r="J34" s="427"/>
    </row>
    <row r="35" spans="2:10" ht="30" customHeight="1" x14ac:dyDescent="0.25">
      <c r="B35" s="131" t="s">
        <v>348</v>
      </c>
      <c r="C35" s="130"/>
      <c r="D35" s="131"/>
      <c r="E35" s="132">
        <v>4</v>
      </c>
      <c r="F35" s="132">
        <v>1</v>
      </c>
      <c r="G35" s="133">
        <f t="shared" si="0"/>
        <v>4</v>
      </c>
      <c r="H35" s="425"/>
      <c r="I35" s="426"/>
      <c r="J35" s="427"/>
    </row>
    <row r="36" spans="2:10" ht="18" customHeight="1" x14ac:dyDescent="0.25"/>
    <row r="37" spans="2:10" ht="15.95" customHeight="1" x14ac:dyDescent="0.25"/>
    <row r="38" spans="2:10" ht="15.95" customHeight="1" x14ac:dyDescent="0.25"/>
    <row r="39" spans="2:10" ht="15.95" customHeight="1" x14ac:dyDescent="0.25"/>
  </sheetData>
  <mergeCells count="24">
    <mergeCell ref="Q7:R7"/>
    <mergeCell ref="Q8:R8"/>
    <mergeCell ref="H33:J33"/>
    <mergeCell ref="H34:J34"/>
    <mergeCell ref="H35:J35"/>
    <mergeCell ref="H27:J27"/>
    <mergeCell ref="H28:J28"/>
    <mergeCell ref="H29:J29"/>
    <mergeCell ref="H30:J30"/>
    <mergeCell ref="H31:J31"/>
    <mergeCell ref="H32:J32"/>
    <mergeCell ref="H26:J26"/>
    <mergeCell ref="H24:J24"/>
    <mergeCell ref="H25:J25"/>
    <mergeCell ref="B1:G1"/>
    <mergeCell ref="B2:J2"/>
    <mergeCell ref="E10:F10"/>
    <mergeCell ref="D11:D15"/>
    <mergeCell ref="B17:I17"/>
    <mergeCell ref="B20:D20"/>
    <mergeCell ref="E20:G20"/>
    <mergeCell ref="H21:J21"/>
    <mergeCell ref="H22:J22"/>
    <mergeCell ref="H23:J23"/>
  </mergeCells>
  <conditionalFormatting sqref="E22:E35">
    <cfRule type="containsText" dxfId="29" priority="1" operator="containsText" text="5">
      <formula>NOT(ISERROR(SEARCH("5",E22)))</formula>
    </cfRule>
    <cfRule type="containsText" dxfId="28" priority="2" operator="containsText" text="4">
      <formula>NOT(ISERROR(SEARCH("4",E22)))</formula>
    </cfRule>
    <cfRule type="containsText" dxfId="27" priority="3" operator="containsText" text="3">
      <formula>NOT(ISERROR(SEARCH("3",E22)))</formula>
    </cfRule>
    <cfRule type="containsText" dxfId="26" priority="4" operator="containsText" text="2">
      <formula>NOT(ISERROR(SEARCH("2",E22)))</formula>
    </cfRule>
    <cfRule type="containsText" dxfId="25" priority="5" operator="containsText" text="1">
      <formula>NOT(ISERROR(SEARCH("1",E22)))</formula>
    </cfRule>
  </conditionalFormatting>
  <conditionalFormatting sqref="F22:F35">
    <cfRule type="containsText" dxfId="24" priority="6" operator="containsText" text="16">
      <formula>NOT(ISERROR(SEARCH("16",F22)))</formula>
    </cfRule>
    <cfRule type="containsText" dxfId="23" priority="7" operator="containsText" text="8">
      <formula>NOT(ISERROR(SEARCH("8",F22)))</formula>
    </cfRule>
    <cfRule type="containsText" dxfId="22" priority="8" operator="containsText" text="4">
      <formula>NOT(ISERROR(SEARCH("4",F22)))</formula>
    </cfRule>
    <cfRule type="containsText" dxfId="21" priority="9" operator="containsText" text="2">
      <formula>NOT(ISERROR(SEARCH("2",F22)))</formula>
    </cfRule>
    <cfRule type="containsText" dxfId="20" priority="10" operator="containsText" text="1">
      <formula>NOT(ISERROR(SEARCH("1",F22)))</formula>
    </cfRule>
  </conditionalFormatting>
  <conditionalFormatting sqref="G22:G35">
    <cfRule type="cellIs" dxfId="19" priority="11" operator="between">
      <formula>40</formula>
      <formula>80</formula>
    </cfRule>
    <cfRule type="cellIs" dxfId="18" priority="12" operator="between">
      <formula>20</formula>
      <formula>32</formula>
    </cfRule>
    <cfRule type="cellIs" dxfId="17" priority="13" operator="between">
      <formula>10</formula>
      <formula>16</formula>
    </cfRule>
    <cfRule type="cellIs" dxfId="16" priority="14" operator="between">
      <formula>3</formula>
      <formula>8</formula>
    </cfRule>
    <cfRule type="cellIs" dxfId="15" priority="15" operator="between">
      <formula>1</formula>
      <formula>2</formula>
    </cfRule>
  </conditionalFormatting>
  <pageMargins left="0.4" right="0.4" top="0.4" bottom="0.4" header="0" footer="0"/>
  <pageSetup scale="93" fitToHeight="0" orientation="landscape" horizontalDpi="1200" verticalDpi="12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E7DC2-0648-4938-B813-2A74B94B3EE2}">
  <sheetPr codeName="Hoja6">
    <tabColor theme="3" tint="0.79995117038483843"/>
    <pageSetUpPr fitToPage="1"/>
  </sheetPr>
  <dimension ref="A1:IS55"/>
  <sheetViews>
    <sheetView showGridLines="0" topLeftCell="A2" workbookViewId="0">
      <selection activeCell="E4" sqref="E4:I8"/>
    </sheetView>
  </sheetViews>
  <sheetFormatPr baseColWidth="10" defaultColWidth="12.5703125" defaultRowHeight="15.75" x14ac:dyDescent="0.25"/>
  <cols>
    <col min="1" max="1" width="3.85546875" style="67" customWidth="1"/>
    <col min="2" max="2" width="11" style="134" customWidth="1"/>
    <col min="3" max="3" width="18.7109375" style="135" customWidth="1"/>
    <col min="4" max="4" width="47.85546875" style="134" customWidth="1"/>
    <col min="5" max="5" width="17.28515625" style="135" customWidth="1"/>
    <col min="6" max="6" width="14.7109375" style="134" customWidth="1"/>
    <col min="7" max="7" width="35.5703125" style="134" customWidth="1"/>
    <col min="8" max="9" width="15.85546875" style="134" customWidth="1"/>
    <col min="10" max="10" width="6.7109375" style="134" customWidth="1"/>
    <col min="11" max="11" width="3.85546875" style="67" customWidth="1"/>
    <col min="12" max="16384" width="12.5703125" style="67"/>
  </cols>
  <sheetData>
    <row r="1" spans="1:253" s="66" customFormat="1" ht="42" customHeight="1" x14ac:dyDescent="0.25">
      <c r="A1" s="65"/>
      <c r="B1" s="136" t="s">
        <v>365</v>
      </c>
      <c r="C1" s="67"/>
      <c r="D1" s="67"/>
      <c r="E1" s="67"/>
      <c r="F1" s="67"/>
      <c r="G1" s="67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5"/>
      <c r="BJ1" s="65"/>
      <c r="BK1" s="65"/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5"/>
      <c r="EM1" s="65"/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</row>
    <row r="2" spans="1:253" ht="48" customHeight="1" x14ac:dyDescent="0.25">
      <c r="B2" s="429" t="s">
        <v>310</v>
      </c>
      <c r="C2" s="430"/>
      <c r="D2" s="430"/>
      <c r="E2" s="430"/>
      <c r="F2" s="430"/>
      <c r="G2" s="430"/>
      <c r="H2" s="430"/>
      <c r="I2" s="430"/>
      <c r="J2" s="430"/>
    </row>
    <row r="3" spans="1:253" ht="50.1" customHeight="1" x14ac:dyDescent="0.25">
      <c r="B3" s="68"/>
      <c r="C3" s="69"/>
      <c r="D3" s="70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68"/>
      <c r="L3" s="72"/>
    </row>
    <row r="4" spans="1:253" ht="50.1" customHeight="1" x14ac:dyDescent="0.25">
      <c r="B4" s="73"/>
      <c r="C4" s="69"/>
      <c r="D4" s="74">
        <v>1</v>
      </c>
      <c r="E4" s="75">
        <f>IFERROR(G11/$I$15,"–")</f>
        <v>0.14285714285714285</v>
      </c>
      <c r="F4" s="76"/>
      <c r="G4" s="77"/>
      <c r="H4" s="77"/>
      <c r="I4" s="78"/>
      <c r="J4" s="73"/>
      <c r="L4" s="79"/>
    </row>
    <row r="5" spans="1:253" ht="50.1" customHeight="1" x14ac:dyDescent="0.25">
      <c r="B5" s="73"/>
      <c r="C5" s="69"/>
      <c r="D5" s="74">
        <v>2</v>
      </c>
      <c r="E5" s="80"/>
      <c r="F5" s="81">
        <f>IFERROR(G12/$I$15,"–")</f>
        <v>0</v>
      </c>
      <c r="G5" s="82"/>
      <c r="H5" s="82"/>
      <c r="I5" s="83"/>
      <c r="J5" s="73"/>
      <c r="L5" s="79"/>
    </row>
    <row r="6" spans="1:253" ht="50.1" customHeight="1" x14ac:dyDescent="0.25">
      <c r="B6" s="73"/>
      <c r="C6" s="69"/>
      <c r="D6" s="74">
        <v>4</v>
      </c>
      <c r="E6" s="84"/>
      <c r="F6" s="82"/>
      <c r="G6" s="85">
        <f>IFERROR(G13/$I$15,"–")</f>
        <v>0.14285714285714285</v>
      </c>
      <c r="H6" s="86"/>
      <c r="I6" s="87"/>
      <c r="J6" s="73"/>
      <c r="L6" s="79"/>
    </row>
    <row r="7" spans="1:253" ht="50.1" customHeight="1" x14ac:dyDescent="0.25">
      <c r="B7" s="73"/>
      <c r="C7" s="69"/>
      <c r="D7" s="74">
        <v>8</v>
      </c>
      <c r="E7" s="88"/>
      <c r="F7" s="83"/>
      <c r="G7" s="89"/>
      <c r="H7" s="90">
        <f>IFERROR(G14/$I$15,"–")</f>
        <v>0.42857142857142855</v>
      </c>
      <c r="I7" s="91"/>
      <c r="J7" s="73"/>
      <c r="L7" s="79"/>
    </row>
    <row r="8" spans="1:253" ht="50.1" customHeight="1" thickBot="1" x14ac:dyDescent="0.3">
      <c r="B8" s="69"/>
      <c r="C8" s="69"/>
      <c r="D8" s="74">
        <v>16</v>
      </c>
      <c r="E8" s="92"/>
      <c r="F8" s="93"/>
      <c r="G8" s="94"/>
      <c r="H8" s="94"/>
      <c r="I8" s="95">
        <f>IFERROR(G15/$I$15,"–")</f>
        <v>0.2857142857142857</v>
      </c>
      <c r="J8" s="69"/>
      <c r="L8" s="96"/>
    </row>
    <row r="9" spans="1:253" ht="15.95" customHeight="1" x14ac:dyDescent="0.25">
      <c r="B9" s="97"/>
      <c r="C9" s="98"/>
      <c r="D9" s="97"/>
      <c r="E9" s="98"/>
      <c r="F9" s="97"/>
      <c r="G9" s="97"/>
      <c r="H9" s="97"/>
      <c r="I9" s="97"/>
      <c r="J9" s="97"/>
    </row>
    <row r="10" spans="1:253" ht="24.95" customHeight="1" thickBot="1" x14ac:dyDescent="0.3">
      <c r="B10" s="99"/>
      <c r="C10" s="99"/>
      <c r="D10" s="99"/>
      <c r="E10" s="431" t="s">
        <v>311</v>
      </c>
      <c r="F10" s="431"/>
      <c r="G10" s="101" t="s">
        <v>312</v>
      </c>
      <c r="H10" s="102"/>
      <c r="I10" s="69"/>
      <c r="J10" s="69"/>
    </row>
    <row r="11" spans="1:253" ht="24.95" customHeight="1" x14ac:dyDescent="0.25">
      <c r="B11" s="99"/>
      <c r="C11" s="99"/>
      <c r="D11" s="432"/>
      <c r="E11" s="103" t="s">
        <v>313</v>
      </c>
      <c r="F11" s="104" t="s">
        <v>314</v>
      </c>
      <c r="G11" s="105">
        <f>COUNTIFS(G22:G51,"&gt;=1",G22:G51,"&lt;=2")</f>
        <v>1</v>
      </c>
      <c r="H11" s="106"/>
      <c r="I11" s="69"/>
      <c r="J11" s="69"/>
    </row>
    <row r="12" spans="1:253" ht="24.95" customHeight="1" x14ac:dyDescent="0.25">
      <c r="B12" s="99"/>
      <c r="C12" s="99"/>
      <c r="D12" s="432"/>
      <c r="E12" s="107" t="s">
        <v>315</v>
      </c>
      <c r="F12" s="108" t="s">
        <v>316</v>
      </c>
      <c r="G12" s="109">
        <f>COUNTIFS(G22:G51,"&gt;=3",G22:G51,"&lt;=8")</f>
        <v>0</v>
      </c>
      <c r="H12" s="106"/>
      <c r="I12" s="69"/>
      <c r="J12" s="69"/>
    </row>
    <row r="13" spans="1:253" ht="24.95" customHeight="1" x14ac:dyDescent="0.25">
      <c r="B13" s="99"/>
      <c r="C13" s="99"/>
      <c r="D13" s="432"/>
      <c r="E13" s="110" t="s">
        <v>317</v>
      </c>
      <c r="F13" s="111" t="s">
        <v>318</v>
      </c>
      <c r="G13" s="112">
        <f>COUNTIFS(G22:G51,"&gt;=10",G22:G51,"&lt;=16")</f>
        <v>1</v>
      </c>
      <c r="H13" s="106"/>
      <c r="I13" s="69"/>
      <c r="J13" s="69"/>
    </row>
    <row r="14" spans="1:253" ht="24.95" customHeight="1" x14ac:dyDescent="0.25">
      <c r="B14" s="99"/>
      <c r="C14" s="99"/>
      <c r="D14" s="432"/>
      <c r="E14" s="113" t="s">
        <v>319</v>
      </c>
      <c r="F14" s="114" t="s">
        <v>320</v>
      </c>
      <c r="G14" s="115">
        <f>COUNTIFS(G22:G51,"&gt;=20",G22:G51,"&lt;=32")</f>
        <v>3</v>
      </c>
      <c r="H14" s="69"/>
      <c r="I14" s="116" t="s">
        <v>321</v>
      </c>
      <c r="J14" s="69"/>
    </row>
    <row r="15" spans="1:253" ht="24.95" customHeight="1" x14ac:dyDescent="0.25">
      <c r="B15" s="99"/>
      <c r="C15" s="99"/>
      <c r="D15" s="432"/>
      <c r="E15" s="117" t="s">
        <v>322</v>
      </c>
      <c r="F15" s="118" t="s">
        <v>323</v>
      </c>
      <c r="G15" s="119">
        <f>COUNTIFS(G22:G51,"&gt;=40",G22:G51,"&lt;=80")</f>
        <v>2</v>
      </c>
      <c r="H15" s="69"/>
      <c r="I15" s="120">
        <f>SUM(G11:G15)</f>
        <v>7</v>
      </c>
      <c r="J15" s="69"/>
    </row>
    <row r="16" spans="1:253" ht="20.100000000000001" customHeight="1" x14ac:dyDescent="0.25">
      <c r="B16" s="97"/>
      <c r="C16" s="97"/>
      <c r="D16" s="97"/>
      <c r="E16" s="97"/>
      <c r="F16" s="97"/>
      <c r="G16" s="97"/>
      <c r="H16" s="69"/>
      <c r="I16" s="69"/>
      <c r="J16" s="69"/>
    </row>
    <row r="17" spans="1:253" ht="24" customHeight="1" x14ac:dyDescent="0.25">
      <c r="B17" s="433" t="s">
        <v>324</v>
      </c>
      <c r="C17" s="433"/>
      <c r="D17" s="433"/>
      <c r="E17" s="433"/>
      <c r="F17" s="433"/>
      <c r="G17" s="433"/>
      <c r="H17" s="433"/>
      <c r="I17" s="433"/>
      <c r="J17" s="69"/>
    </row>
    <row r="18" spans="1:253" x14ac:dyDescent="0.25">
      <c r="B18" s="67"/>
      <c r="C18" s="67"/>
      <c r="D18" s="122"/>
      <c r="E18" s="122"/>
      <c r="F18" s="122"/>
      <c r="G18" s="122"/>
      <c r="H18" s="122"/>
      <c r="I18" s="122"/>
      <c r="J18" s="67"/>
    </row>
    <row r="19" spans="1:253" s="66" customFormat="1" ht="32.1" customHeight="1" x14ac:dyDescent="0.25">
      <c r="A19" s="65"/>
      <c r="B19" s="123" t="s">
        <v>325</v>
      </c>
      <c r="C19" s="67"/>
      <c r="D19" s="67"/>
      <c r="E19" s="67"/>
      <c r="F19" s="67"/>
      <c r="G19" s="67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  <c r="DQ19" s="65"/>
      <c r="DR19" s="65"/>
      <c r="DS19" s="65"/>
      <c r="DT19" s="65"/>
      <c r="DU19" s="65"/>
      <c r="DV19" s="65"/>
      <c r="DW19" s="65"/>
      <c r="DX19" s="65"/>
      <c r="DY19" s="65"/>
      <c r="DZ19" s="65"/>
      <c r="EA19" s="65"/>
      <c r="EB19" s="65"/>
      <c r="EC19" s="65"/>
      <c r="ED19" s="65"/>
      <c r="EE19" s="65"/>
      <c r="EF19" s="65"/>
      <c r="EG19" s="65"/>
      <c r="EH19" s="65"/>
      <c r="EI19" s="65"/>
      <c r="EJ19" s="65"/>
      <c r="EK19" s="65"/>
      <c r="EL19" s="65"/>
      <c r="EM19" s="65"/>
      <c r="EN19" s="65"/>
      <c r="EO19" s="65"/>
      <c r="EP19" s="65"/>
      <c r="EQ19" s="65"/>
      <c r="ER19" s="65"/>
      <c r="ES19" s="65"/>
      <c r="ET19" s="65"/>
      <c r="EU19" s="65"/>
      <c r="EV19" s="65"/>
      <c r="EW19" s="65"/>
      <c r="EX19" s="65"/>
      <c r="EY19" s="65"/>
      <c r="EZ19" s="65"/>
      <c r="FA19" s="65"/>
      <c r="FB19" s="65"/>
      <c r="FC19" s="65"/>
      <c r="FD19" s="65"/>
      <c r="FE19" s="65"/>
      <c r="FF19" s="65"/>
      <c r="FG19" s="65"/>
      <c r="FH19" s="65"/>
      <c r="FI19" s="65"/>
      <c r="FJ19" s="65"/>
      <c r="FK19" s="65"/>
      <c r="FL19" s="65"/>
      <c r="FM19" s="65"/>
      <c r="FN19" s="65"/>
      <c r="FO19" s="65"/>
      <c r="FP19" s="65"/>
      <c r="FQ19" s="65"/>
      <c r="FR19" s="65"/>
      <c r="FS19" s="65"/>
      <c r="FT19" s="65"/>
      <c r="FU19" s="65"/>
      <c r="FV19" s="65"/>
      <c r="FW19" s="65"/>
      <c r="FX19" s="65"/>
      <c r="FY19" s="65"/>
      <c r="FZ19" s="65"/>
      <c r="GA19" s="65"/>
      <c r="GB19" s="65"/>
      <c r="GC19" s="65"/>
      <c r="GD19" s="65"/>
      <c r="GE19" s="65"/>
      <c r="GF19" s="65"/>
      <c r="GG19" s="65"/>
      <c r="GH19" s="65"/>
      <c r="GI19" s="65"/>
      <c r="GJ19" s="65"/>
      <c r="GK19" s="65"/>
      <c r="GL19" s="65"/>
      <c r="GM19" s="65"/>
      <c r="GN19" s="65"/>
      <c r="GO19" s="65"/>
      <c r="GP19" s="65"/>
      <c r="GQ19" s="65"/>
      <c r="GR19" s="65"/>
      <c r="GS19" s="65"/>
      <c r="GT19" s="65"/>
      <c r="GU19" s="65"/>
      <c r="GV19" s="65"/>
      <c r="GW19" s="65"/>
      <c r="GX19" s="65"/>
      <c r="GY19" s="65"/>
      <c r="GZ19" s="65"/>
      <c r="HA19" s="65"/>
      <c r="HB19" s="65"/>
      <c r="HC19" s="65"/>
      <c r="HD19" s="65"/>
      <c r="HE19" s="65"/>
      <c r="HF19" s="65"/>
      <c r="HG19" s="65"/>
      <c r="HH19" s="65"/>
      <c r="HI19" s="65"/>
      <c r="HJ19" s="65"/>
      <c r="HK19" s="65"/>
      <c r="HL19" s="65"/>
      <c r="HM19" s="65"/>
      <c r="HN19" s="65"/>
      <c r="HO19" s="65"/>
      <c r="HP19" s="65"/>
      <c r="HQ19" s="65"/>
      <c r="HR19" s="65"/>
      <c r="HS19" s="65"/>
      <c r="HT19" s="65"/>
      <c r="HU19" s="65"/>
      <c r="HV19" s="65"/>
      <c r="HW19" s="65"/>
      <c r="HX19" s="65"/>
      <c r="HY19" s="65"/>
      <c r="HZ19" s="65"/>
      <c r="IA19" s="65"/>
      <c r="IB19" s="65"/>
      <c r="IC19" s="65"/>
      <c r="ID19" s="65"/>
      <c r="IE19" s="65"/>
      <c r="IF19" s="65"/>
      <c r="IG19" s="65"/>
      <c r="IH19" s="65"/>
      <c r="II19" s="65"/>
      <c r="IJ19" s="65"/>
      <c r="IK19" s="65"/>
      <c r="IL19" s="65"/>
      <c r="IM19" s="65"/>
      <c r="IN19" s="65"/>
      <c r="IO19" s="65"/>
      <c r="IP19" s="65"/>
      <c r="IQ19" s="65"/>
      <c r="IR19" s="65"/>
      <c r="IS19" s="65"/>
    </row>
    <row r="20" spans="1:253" ht="30" customHeight="1" x14ac:dyDescent="0.25">
      <c r="B20" s="420" t="s">
        <v>326</v>
      </c>
      <c r="C20" s="420"/>
      <c r="D20" s="420"/>
      <c r="E20" s="421" t="s">
        <v>327</v>
      </c>
      <c r="F20" s="421"/>
      <c r="G20" s="421"/>
      <c r="H20" s="67"/>
      <c r="I20" s="67"/>
      <c r="J20" s="67"/>
    </row>
    <row r="21" spans="1:253" s="128" customFormat="1" ht="54.95" customHeight="1" x14ac:dyDescent="0.2">
      <c r="A21" s="124"/>
      <c r="B21" s="125" t="s">
        <v>328</v>
      </c>
      <c r="C21" s="126" t="s">
        <v>329</v>
      </c>
      <c r="D21" s="125" t="s">
        <v>330</v>
      </c>
      <c r="E21" s="127" t="s">
        <v>331</v>
      </c>
      <c r="F21" s="127" t="s">
        <v>332</v>
      </c>
      <c r="G21" s="127" t="s">
        <v>333</v>
      </c>
      <c r="H21" s="422" t="s">
        <v>334</v>
      </c>
      <c r="I21" s="423"/>
      <c r="J21" s="424"/>
      <c r="K21" s="124"/>
    </row>
    <row r="22" spans="1:253" ht="30" customHeight="1" x14ac:dyDescent="0.25">
      <c r="B22" s="129" t="s">
        <v>335</v>
      </c>
      <c r="C22" s="130"/>
      <c r="D22" s="131"/>
      <c r="E22" s="132">
        <v>4</v>
      </c>
      <c r="F22" s="132">
        <v>4</v>
      </c>
      <c r="G22" s="133">
        <f t="shared" ref="G22:G51" si="0">E22*F22</f>
        <v>16</v>
      </c>
      <c r="H22" s="425"/>
      <c r="I22" s="426"/>
      <c r="J22" s="427"/>
    </row>
    <row r="23" spans="1:253" ht="30" customHeight="1" x14ac:dyDescent="0.25">
      <c r="B23" s="131" t="s">
        <v>336</v>
      </c>
      <c r="C23" s="130"/>
      <c r="D23" s="131"/>
      <c r="E23" s="132">
        <v>3</v>
      </c>
      <c r="F23" s="132">
        <v>8</v>
      </c>
      <c r="G23" s="133">
        <f t="shared" si="0"/>
        <v>24</v>
      </c>
      <c r="H23" s="425"/>
      <c r="I23" s="426"/>
      <c r="J23" s="427"/>
    </row>
    <row r="24" spans="1:253" ht="30" customHeight="1" x14ac:dyDescent="0.25">
      <c r="B24" s="131" t="s">
        <v>337</v>
      </c>
      <c r="C24" s="130"/>
      <c r="D24" s="131"/>
      <c r="E24" s="132">
        <v>3</v>
      </c>
      <c r="F24" s="132">
        <v>8</v>
      </c>
      <c r="G24" s="133">
        <f t="shared" si="0"/>
        <v>24</v>
      </c>
      <c r="H24" s="425"/>
      <c r="I24" s="426"/>
      <c r="J24" s="427"/>
    </row>
    <row r="25" spans="1:253" ht="30" customHeight="1" x14ac:dyDescent="0.25">
      <c r="B25" s="131" t="s">
        <v>338</v>
      </c>
      <c r="C25" s="130"/>
      <c r="D25" s="131"/>
      <c r="E25" s="132">
        <v>1</v>
      </c>
      <c r="F25" s="132">
        <v>1</v>
      </c>
      <c r="G25" s="133">
        <f t="shared" si="0"/>
        <v>1</v>
      </c>
      <c r="H25" s="425"/>
      <c r="I25" s="426"/>
      <c r="J25" s="427"/>
    </row>
    <row r="26" spans="1:253" ht="30" customHeight="1" x14ac:dyDescent="0.25">
      <c r="B26" s="131" t="s">
        <v>339</v>
      </c>
      <c r="C26" s="130"/>
      <c r="D26" s="131"/>
      <c r="E26" s="132">
        <v>4</v>
      </c>
      <c r="F26" s="132">
        <v>8</v>
      </c>
      <c r="G26" s="133">
        <f t="shared" si="0"/>
        <v>32</v>
      </c>
      <c r="H26" s="425"/>
      <c r="I26" s="426"/>
      <c r="J26" s="427"/>
    </row>
    <row r="27" spans="1:253" ht="30" customHeight="1" x14ac:dyDescent="0.25">
      <c r="B27" s="131" t="s">
        <v>340</v>
      </c>
      <c r="C27" s="130"/>
      <c r="D27" s="131"/>
      <c r="E27" s="132">
        <v>5</v>
      </c>
      <c r="F27" s="132">
        <v>8</v>
      </c>
      <c r="G27" s="133">
        <f t="shared" si="0"/>
        <v>40</v>
      </c>
      <c r="H27" s="425"/>
      <c r="I27" s="426"/>
      <c r="J27" s="427"/>
    </row>
    <row r="28" spans="1:253" ht="30" customHeight="1" x14ac:dyDescent="0.25">
      <c r="B28" s="131" t="s">
        <v>341</v>
      </c>
      <c r="C28" s="130"/>
      <c r="D28" s="131"/>
      <c r="E28" s="132">
        <v>5</v>
      </c>
      <c r="F28" s="132">
        <v>15</v>
      </c>
      <c r="G28" s="133">
        <f t="shared" si="0"/>
        <v>75</v>
      </c>
      <c r="H28" s="425"/>
      <c r="I28" s="426"/>
      <c r="J28" s="427"/>
    </row>
    <row r="29" spans="1:253" ht="30" customHeight="1" x14ac:dyDescent="0.25">
      <c r="B29" s="131" t="s">
        <v>342</v>
      </c>
      <c r="C29" s="130"/>
      <c r="D29" s="131"/>
      <c r="E29" s="132"/>
      <c r="F29" s="132"/>
      <c r="G29" s="133">
        <f t="shared" si="0"/>
        <v>0</v>
      </c>
      <c r="H29" s="425"/>
      <c r="I29" s="426"/>
      <c r="J29" s="427"/>
    </row>
    <row r="30" spans="1:253" ht="30" customHeight="1" x14ac:dyDescent="0.25">
      <c r="B30" s="131" t="s">
        <v>343</v>
      </c>
      <c r="C30" s="130"/>
      <c r="D30" s="131"/>
      <c r="E30" s="132"/>
      <c r="F30" s="132"/>
      <c r="G30" s="133">
        <f t="shared" si="0"/>
        <v>0</v>
      </c>
      <c r="H30" s="425"/>
      <c r="I30" s="426"/>
      <c r="J30" s="427"/>
    </row>
    <row r="31" spans="1:253" ht="30" customHeight="1" x14ac:dyDescent="0.25">
      <c r="B31" s="131" t="s">
        <v>344</v>
      </c>
      <c r="C31" s="130"/>
      <c r="D31" s="131"/>
      <c r="E31" s="132"/>
      <c r="F31" s="132"/>
      <c r="G31" s="133">
        <f t="shared" si="0"/>
        <v>0</v>
      </c>
      <c r="H31" s="425"/>
      <c r="I31" s="426"/>
      <c r="J31" s="427"/>
    </row>
    <row r="32" spans="1:253" ht="30" customHeight="1" x14ac:dyDescent="0.25">
      <c r="B32" s="131" t="s">
        <v>345</v>
      </c>
      <c r="C32" s="130"/>
      <c r="D32" s="131"/>
      <c r="E32" s="132"/>
      <c r="F32" s="132"/>
      <c r="G32" s="133">
        <f t="shared" si="0"/>
        <v>0</v>
      </c>
      <c r="H32" s="425"/>
      <c r="I32" s="426"/>
      <c r="J32" s="427"/>
    </row>
    <row r="33" spans="2:10" ht="30" customHeight="1" x14ac:dyDescent="0.25">
      <c r="B33" s="131" t="s">
        <v>346</v>
      </c>
      <c r="C33" s="130"/>
      <c r="D33" s="131"/>
      <c r="E33" s="132"/>
      <c r="F33" s="132"/>
      <c r="G33" s="133">
        <f t="shared" si="0"/>
        <v>0</v>
      </c>
      <c r="H33" s="425"/>
      <c r="I33" s="426"/>
      <c r="J33" s="427"/>
    </row>
    <row r="34" spans="2:10" ht="30" customHeight="1" x14ac:dyDescent="0.25">
      <c r="B34" s="131" t="s">
        <v>347</v>
      </c>
      <c r="C34" s="130"/>
      <c r="D34" s="131"/>
      <c r="E34" s="132"/>
      <c r="F34" s="132"/>
      <c r="G34" s="133">
        <f t="shared" si="0"/>
        <v>0</v>
      </c>
      <c r="H34" s="425"/>
      <c r="I34" s="426"/>
      <c r="J34" s="427"/>
    </row>
    <row r="35" spans="2:10" ht="30" customHeight="1" x14ac:dyDescent="0.25">
      <c r="B35" s="131" t="s">
        <v>348</v>
      </c>
      <c r="C35" s="130"/>
      <c r="D35" s="131"/>
      <c r="E35" s="132"/>
      <c r="F35" s="132"/>
      <c r="G35" s="133">
        <f t="shared" si="0"/>
        <v>0</v>
      </c>
      <c r="H35" s="425"/>
      <c r="I35" s="426"/>
      <c r="J35" s="427"/>
    </row>
    <row r="36" spans="2:10" ht="30" customHeight="1" x14ac:dyDescent="0.25">
      <c r="B36" s="131" t="s">
        <v>364</v>
      </c>
      <c r="C36" s="130"/>
      <c r="D36" s="131"/>
      <c r="E36" s="132"/>
      <c r="F36" s="132"/>
      <c r="G36" s="133">
        <f t="shared" si="0"/>
        <v>0</v>
      </c>
      <c r="H36" s="425"/>
      <c r="I36" s="426"/>
      <c r="J36" s="427"/>
    </row>
    <row r="37" spans="2:10" ht="30" customHeight="1" x14ac:dyDescent="0.25">
      <c r="B37" s="131" t="s">
        <v>363</v>
      </c>
      <c r="C37" s="130"/>
      <c r="D37" s="131"/>
      <c r="E37" s="132"/>
      <c r="F37" s="132"/>
      <c r="G37" s="133">
        <f t="shared" si="0"/>
        <v>0</v>
      </c>
      <c r="H37" s="425"/>
      <c r="I37" s="426"/>
      <c r="J37" s="427"/>
    </row>
    <row r="38" spans="2:10" ht="30" customHeight="1" x14ac:dyDescent="0.25">
      <c r="B38" s="131" t="s">
        <v>362</v>
      </c>
      <c r="C38" s="130"/>
      <c r="D38" s="131"/>
      <c r="E38" s="132"/>
      <c r="F38" s="132"/>
      <c r="G38" s="133">
        <f t="shared" si="0"/>
        <v>0</v>
      </c>
      <c r="H38" s="425"/>
      <c r="I38" s="426"/>
      <c r="J38" s="427"/>
    </row>
    <row r="39" spans="2:10" ht="30" customHeight="1" x14ac:dyDescent="0.25">
      <c r="B39" s="131" t="s">
        <v>361</v>
      </c>
      <c r="C39" s="130"/>
      <c r="D39" s="131"/>
      <c r="E39" s="132"/>
      <c r="F39" s="132"/>
      <c r="G39" s="133">
        <f t="shared" si="0"/>
        <v>0</v>
      </c>
      <c r="H39" s="425"/>
      <c r="I39" s="426"/>
      <c r="J39" s="427"/>
    </row>
    <row r="40" spans="2:10" ht="30" customHeight="1" x14ac:dyDescent="0.25">
      <c r="B40" s="131" t="s">
        <v>360</v>
      </c>
      <c r="C40" s="130"/>
      <c r="D40" s="131"/>
      <c r="E40" s="132"/>
      <c r="F40" s="132"/>
      <c r="G40" s="133">
        <f t="shared" si="0"/>
        <v>0</v>
      </c>
      <c r="H40" s="425"/>
      <c r="I40" s="426"/>
      <c r="J40" s="427"/>
    </row>
    <row r="41" spans="2:10" ht="30" customHeight="1" x14ac:dyDescent="0.25">
      <c r="B41" s="131" t="s">
        <v>359</v>
      </c>
      <c r="C41" s="130"/>
      <c r="D41" s="131"/>
      <c r="E41" s="132"/>
      <c r="F41" s="132"/>
      <c r="G41" s="133">
        <f t="shared" si="0"/>
        <v>0</v>
      </c>
      <c r="H41" s="425"/>
      <c r="I41" s="426"/>
      <c r="J41" s="427"/>
    </row>
    <row r="42" spans="2:10" ht="30" customHeight="1" x14ac:dyDescent="0.25">
      <c r="B42" s="131" t="s">
        <v>358</v>
      </c>
      <c r="C42" s="130"/>
      <c r="D42" s="131"/>
      <c r="E42" s="132"/>
      <c r="F42" s="132"/>
      <c r="G42" s="133">
        <f t="shared" si="0"/>
        <v>0</v>
      </c>
      <c r="H42" s="425"/>
      <c r="I42" s="426"/>
      <c r="J42" s="427"/>
    </row>
    <row r="43" spans="2:10" ht="30" customHeight="1" x14ac:dyDescent="0.25">
      <c r="B43" s="131" t="s">
        <v>357</v>
      </c>
      <c r="C43" s="130"/>
      <c r="D43" s="131"/>
      <c r="E43" s="132"/>
      <c r="F43" s="132"/>
      <c r="G43" s="133">
        <f t="shared" si="0"/>
        <v>0</v>
      </c>
      <c r="H43" s="425"/>
      <c r="I43" s="426"/>
      <c r="J43" s="427"/>
    </row>
    <row r="44" spans="2:10" ht="30" customHeight="1" x14ac:dyDescent="0.25">
      <c r="B44" s="131" t="s">
        <v>356</v>
      </c>
      <c r="C44" s="130"/>
      <c r="D44" s="131"/>
      <c r="E44" s="132"/>
      <c r="F44" s="132"/>
      <c r="G44" s="133">
        <f t="shared" si="0"/>
        <v>0</v>
      </c>
      <c r="H44" s="425"/>
      <c r="I44" s="426"/>
      <c r="J44" s="427"/>
    </row>
    <row r="45" spans="2:10" ht="30" customHeight="1" x14ac:dyDescent="0.25">
      <c r="B45" s="131" t="s">
        <v>355</v>
      </c>
      <c r="C45" s="130"/>
      <c r="D45" s="131"/>
      <c r="E45" s="132"/>
      <c r="F45" s="132"/>
      <c r="G45" s="133">
        <f t="shared" si="0"/>
        <v>0</v>
      </c>
      <c r="H45" s="425"/>
      <c r="I45" s="426"/>
      <c r="J45" s="427"/>
    </row>
    <row r="46" spans="2:10" ht="30" customHeight="1" x14ac:dyDescent="0.25">
      <c r="B46" s="131" t="s">
        <v>354</v>
      </c>
      <c r="C46" s="130"/>
      <c r="D46" s="131"/>
      <c r="E46" s="132"/>
      <c r="F46" s="132"/>
      <c r="G46" s="133">
        <f t="shared" si="0"/>
        <v>0</v>
      </c>
      <c r="H46" s="425"/>
      <c r="I46" s="426"/>
      <c r="J46" s="427"/>
    </row>
    <row r="47" spans="2:10" ht="30" customHeight="1" x14ac:dyDescent="0.25">
      <c r="B47" s="131" t="s">
        <v>353</v>
      </c>
      <c r="C47" s="130"/>
      <c r="D47" s="131"/>
      <c r="E47" s="132"/>
      <c r="F47" s="132"/>
      <c r="G47" s="133">
        <f t="shared" si="0"/>
        <v>0</v>
      </c>
      <c r="H47" s="425"/>
      <c r="I47" s="426"/>
      <c r="J47" s="427"/>
    </row>
    <row r="48" spans="2:10" ht="30" customHeight="1" x14ac:dyDescent="0.25">
      <c r="B48" s="131" t="s">
        <v>352</v>
      </c>
      <c r="C48" s="130"/>
      <c r="D48" s="131"/>
      <c r="E48" s="132"/>
      <c r="F48" s="132"/>
      <c r="G48" s="133">
        <f t="shared" si="0"/>
        <v>0</v>
      </c>
      <c r="H48" s="425"/>
      <c r="I48" s="426"/>
      <c r="J48" s="427"/>
    </row>
    <row r="49" spans="2:10" ht="30" customHeight="1" x14ac:dyDescent="0.25">
      <c r="B49" s="131" t="s">
        <v>351</v>
      </c>
      <c r="C49" s="130"/>
      <c r="D49" s="131"/>
      <c r="E49" s="132"/>
      <c r="F49" s="132"/>
      <c r="G49" s="133">
        <f t="shared" si="0"/>
        <v>0</v>
      </c>
      <c r="H49" s="425"/>
      <c r="I49" s="426"/>
      <c r="J49" s="427"/>
    </row>
    <row r="50" spans="2:10" ht="30" customHeight="1" x14ac:dyDescent="0.25">
      <c r="B50" s="131" t="s">
        <v>350</v>
      </c>
      <c r="C50" s="130"/>
      <c r="D50" s="131"/>
      <c r="E50" s="132"/>
      <c r="F50" s="132"/>
      <c r="G50" s="133">
        <f t="shared" si="0"/>
        <v>0</v>
      </c>
      <c r="H50" s="425"/>
      <c r="I50" s="426"/>
      <c r="J50" s="427"/>
    </row>
    <row r="51" spans="2:10" ht="30" customHeight="1" x14ac:dyDescent="0.25">
      <c r="B51" s="131" t="s">
        <v>349</v>
      </c>
      <c r="C51" s="130"/>
      <c r="D51" s="131"/>
      <c r="E51" s="132"/>
      <c r="F51" s="132"/>
      <c r="G51" s="133">
        <f t="shared" si="0"/>
        <v>0</v>
      </c>
      <c r="H51" s="425"/>
      <c r="I51" s="426"/>
      <c r="J51" s="427"/>
    </row>
    <row r="52" spans="2:10" ht="18" customHeight="1" x14ac:dyDescent="0.25"/>
    <row r="53" spans="2:10" ht="15.95" customHeight="1" x14ac:dyDescent="0.25"/>
    <row r="54" spans="2:10" ht="15.95" customHeight="1" x14ac:dyDescent="0.25"/>
    <row r="55" spans="2:10" ht="15.95" customHeight="1" x14ac:dyDescent="0.25"/>
  </sheetData>
  <mergeCells count="37">
    <mergeCell ref="H44:J44"/>
    <mergeCell ref="H45:J45"/>
    <mergeCell ref="H36:J36"/>
    <mergeCell ref="H37:J37"/>
    <mergeCell ref="H38:J38"/>
    <mergeCell ref="H39:J39"/>
    <mergeCell ref="H51:J51"/>
    <mergeCell ref="D11:D15"/>
    <mergeCell ref="H46:J46"/>
    <mergeCell ref="H47:J47"/>
    <mergeCell ref="H48:J48"/>
    <mergeCell ref="H49:J49"/>
    <mergeCell ref="H50:J50"/>
    <mergeCell ref="H41:J41"/>
    <mergeCell ref="H42:J42"/>
    <mergeCell ref="H43:J43"/>
    <mergeCell ref="H28:J28"/>
    <mergeCell ref="H29:J29"/>
    <mergeCell ref="H30:J30"/>
    <mergeCell ref="H40:J40"/>
    <mergeCell ref="H31:J31"/>
    <mergeCell ref="H32:J32"/>
    <mergeCell ref="H33:J33"/>
    <mergeCell ref="H34:J34"/>
    <mergeCell ref="H35:J35"/>
    <mergeCell ref="H22:J22"/>
    <mergeCell ref="H23:J23"/>
    <mergeCell ref="H24:J24"/>
    <mergeCell ref="H25:J25"/>
    <mergeCell ref="H26:J26"/>
    <mergeCell ref="H27:J27"/>
    <mergeCell ref="H21:J21"/>
    <mergeCell ref="B2:J2"/>
    <mergeCell ref="E10:F10"/>
    <mergeCell ref="B17:I17"/>
    <mergeCell ref="B20:D20"/>
    <mergeCell ref="E20:G20"/>
  </mergeCells>
  <conditionalFormatting sqref="E22:E51">
    <cfRule type="containsText" dxfId="14" priority="1" operator="containsText" text="5">
      <formula>NOT(ISERROR(SEARCH("5",E22)))</formula>
    </cfRule>
    <cfRule type="containsText" dxfId="13" priority="2" operator="containsText" text="4">
      <formula>NOT(ISERROR(SEARCH("4",E22)))</formula>
    </cfRule>
    <cfRule type="containsText" dxfId="12" priority="3" operator="containsText" text="3">
      <formula>NOT(ISERROR(SEARCH("3",E22)))</formula>
    </cfRule>
    <cfRule type="containsText" dxfId="11" priority="4" operator="containsText" text="2">
      <formula>NOT(ISERROR(SEARCH("2",E22)))</formula>
    </cfRule>
    <cfRule type="containsText" dxfId="10" priority="5" operator="containsText" text="1">
      <formula>NOT(ISERROR(SEARCH("1",E22)))</formula>
    </cfRule>
  </conditionalFormatting>
  <conditionalFormatting sqref="F22:F51">
    <cfRule type="containsText" dxfId="9" priority="6" operator="containsText" text="16">
      <formula>NOT(ISERROR(SEARCH("16",F22)))</formula>
    </cfRule>
    <cfRule type="containsText" dxfId="8" priority="7" operator="containsText" text="8">
      <formula>NOT(ISERROR(SEARCH("8",F22)))</formula>
    </cfRule>
    <cfRule type="containsText" dxfId="7" priority="8" operator="containsText" text="4">
      <formula>NOT(ISERROR(SEARCH("4",F22)))</formula>
    </cfRule>
    <cfRule type="containsText" dxfId="6" priority="9" operator="containsText" text="2">
      <formula>NOT(ISERROR(SEARCH("2",F22)))</formula>
    </cfRule>
    <cfRule type="containsText" dxfId="5" priority="10" operator="containsText" text="1">
      <formula>NOT(ISERROR(SEARCH("1",F22)))</formula>
    </cfRule>
  </conditionalFormatting>
  <conditionalFormatting sqref="G22:G51">
    <cfRule type="cellIs" dxfId="4" priority="11" operator="between">
      <formula>40</formula>
      <formula>80</formula>
    </cfRule>
    <cfRule type="cellIs" dxfId="3" priority="12" operator="between">
      <formula>20</formula>
      <formula>32</formula>
    </cfRule>
    <cfRule type="cellIs" dxfId="2" priority="13" operator="between">
      <formula>10</formula>
      <formula>16</formula>
    </cfRule>
    <cfRule type="cellIs" dxfId="1" priority="14" operator="between">
      <formula>3</formula>
      <formula>8</formula>
    </cfRule>
    <cfRule type="cellIs" dxfId="0" priority="15" operator="between">
      <formula>1</formula>
      <formula>2</formula>
    </cfRule>
  </conditionalFormatting>
  <pageMargins left="0.4" right="0.4" top="0.4" bottom="0.4" header="0" footer="0"/>
  <pageSetup scale="93" fitToHeight="0" orientation="landscape" horizontalDpi="1200" verticalDpi="12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1314-0295-4486-9D3F-CADA04E6A025}">
  <sheetPr codeName="Hoja1"/>
  <dimension ref="A1:AH38"/>
  <sheetViews>
    <sheetView workbookViewId="0"/>
  </sheetViews>
  <sheetFormatPr baseColWidth="10" defaultRowHeight="12.75" x14ac:dyDescent="0.2"/>
  <cols>
    <col min="8" max="8" width="34.140625" customWidth="1"/>
    <col min="9" max="9" width="27.42578125" customWidth="1"/>
    <col min="10" max="10" width="49.7109375" customWidth="1"/>
    <col min="11" max="11" width="15.42578125" customWidth="1"/>
  </cols>
  <sheetData>
    <row r="1" spans="1:34" x14ac:dyDescent="0.2">
      <c r="A1" s="57"/>
    </row>
    <row r="2" spans="1:34" ht="13.5" thickBot="1" x14ac:dyDescent="0.25"/>
    <row r="3" spans="1:34" ht="13.5" thickBot="1" x14ac:dyDescent="0.25">
      <c r="A3" s="465" t="s">
        <v>203</v>
      </c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2"/>
      <c r="Q3" s="495" t="s">
        <v>189</v>
      </c>
      <c r="R3" s="496"/>
      <c r="S3" s="496"/>
      <c r="T3" s="496"/>
      <c r="U3" s="496"/>
      <c r="V3" s="496"/>
      <c r="W3" s="496"/>
      <c r="X3" s="496"/>
      <c r="Y3" s="497"/>
      <c r="Z3" s="454" t="s">
        <v>231</v>
      </c>
      <c r="AA3" s="455"/>
      <c r="AB3" s="455"/>
      <c r="AC3" s="455"/>
      <c r="AD3" s="455"/>
      <c r="AE3" s="456"/>
      <c r="AF3" s="487" t="s">
        <v>251</v>
      </c>
      <c r="AG3" s="488"/>
      <c r="AH3" s="489"/>
    </row>
    <row r="4" spans="1:34" ht="13.5" thickBot="1" x14ac:dyDescent="0.25">
      <c r="A4" s="464" t="s">
        <v>140</v>
      </c>
      <c r="B4" s="465"/>
      <c r="C4" s="465"/>
      <c r="D4" s="466"/>
      <c r="E4" s="464" t="s">
        <v>142</v>
      </c>
      <c r="F4" s="466"/>
      <c r="G4" s="464" t="s">
        <v>144</v>
      </c>
      <c r="H4" s="465"/>
      <c r="I4" s="466"/>
      <c r="J4" s="470" t="s">
        <v>146</v>
      </c>
      <c r="K4" s="470"/>
      <c r="L4" s="470" t="s">
        <v>147</v>
      </c>
      <c r="M4" s="470"/>
      <c r="N4" s="464" t="s">
        <v>161</v>
      </c>
      <c r="O4" s="465"/>
      <c r="P4" s="466"/>
      <c r="Q4" s="477" t="s">
        <v>190</v>
      </c>
      <c r="R4" s="477"/>
      <c r="S4" s="41" t="s">
        <v>191</v>
      </c>
      <c r="T4" s="41" t="s">
        <v>68</v>
      </c>
      <c r="U4" s="477" t="s">
        <v>192</v>
      </c>
      <c r="V4" s="477"/>
      <c r="W4" s="477"/>
      <c r="X4" s="479" t="s">
        <v>210</v>
      </c>
      <c r="Y4" s="480"/>
      <c r="Z4" s="454" t="s">
        <v>246</v>
      </c>
      <c r="AA4" s="455"/>
      <c r="AB4" s="456"/>
      <c r="AC4" s="457" t="s">
        <v>245</v>
      </c>
      <c r="AD4" s="458"/>
      <c r="AE4" s="459"/>
      <c r="AF4" s="42" t="s">
        <v>253</v>
      </c>
      <c r="AG4" s="42" t="s">
        <v>252</v>
      </c>
      <c r="AH4" s="42" t="s">
        <v>254</v>
      </c>
    </row>
    <row r="5" spans="1:34" ht="13.5" thickBot="1" x14ac:dyDescent="0.25">
      <c r="A5" s="34" t="s">
        <v>141</v>
      </c>
      <c r="B5" s="35"/>
      <c r="C5" s="36"/>
      <c r="D5" s="37"/>
      <c r="E5" s="440" t="s">
        <v>143</v>
      </c>
      <c r="F5" s="442"/>
      <c r="G5" s="440" t="s">
        <v>145</v>
      </c>
      <c r="H5" s="441"/>
      <c r="I5" s="442"/>
      <c r="J5" s="440" t="s">
        <v>89</v>
      </c>
      <c r="K5" s="442"/>
      <c r="L5" s="440" t="s">
        <v>148</v>
      </c>
      <c r="M5" s="442"/>
      <c r="N5" s="440" t="s">
        <v>168</v>
      </c>
      <c r="O5" s="441"/>
      <c r="P5" s="442"/>
      <c r="Q5" s="444" t="s">
        <v>193</v>
      </c>
      <c r="R5" s="445"/>
      <c r="S5" s="28" t="s">
        <v>195</v>
      </c>
      <c r="T5" s="28" t="s">
        <v>194</v>
      </c>
      <c r="U5" s="444" t="s">
        <v>199</v>
      </c>
      <c r="V5" s="445"/>
      <c r="W5" s="445"/>
      <c r="X5" s="440" t="s">
        <v>213</v>
      </c>
      <c r="Y5" s="498"/>
      <c r="Z5" s="482" t="s">
        <v>236</v>
      </c>
      <c r="AA5" s="483"/>
      <c r="AB5" s="484"/>
      <c r="AC5" s="461" t="s">
        <v>237</v>
      </c>
      <c r="AD5" s="462"/>
      <c r="AE5" s="463"/>
      <c r="AF5" s="30" t="s">
        <v>255</v>
      </c>
      <c r="AG5" s="28" t="s">
        <v>256</v>
      </c>
      <c r="AH5" s="43">
        <v>45845</v>
      </c>
    </row>
    <row r="6" spans="1:34" ht="13.5" thickBot="1" x14ac:dyDescent="0.25">
      <c r="A6" s="467" t="s">
        <v>149</v>
      </c>
      <c r="B6" s="468"/>
      <c r="C6" s="468"/>
      <c r="D6" s="469"/>
      <c r="E6" s="440" t="s">
        <v>150</v>
      </c>
      <c r="F6" s="442"/>
      <c r="G6" s="440" t="s">
        <v>151</v>
      </c>
      <c r="H6" s="441"/>
      <c r="I6" s="442"/>
      <c r="J6" s="440" t="s">
        <v>152</v>
      </c>
      <c r="K6" s="442"/>
      <c r="L6" s="440" t="s">
        <v>153</v>
      </c>
      <c r="M6" s="442"/>
      <c r="N6" s="440" t="s">
        <v>150</v>
      </c>
      <c r="O6" s="441"/>
      <c r="P6" s="442"/>
      <c r="Q6" s="444" t="s">
        <v>196</v>
      </c>
      <c r="R6" s="445"/>
      <c r="S6" s="33" t="s">
        <v>195</v>
      </c>
      <c r="T6" s="28" t="s">
        <v>197</v>
      </c>
      <c r="U6" s="444" t="s">
        <v>198</v>
      </c>
      <c r="V6" s="445"/>
      <c r="W6" s="445"/>
      <c r="X6" s="440" t="s">
        <v>212</v>
      </c>
      <c r="Y6" s="498"/>
      <c r="Z6" s="482"/>
      <c r="AA6" s="483"/>
      <c r="AB6" s="484"/>
      <c r="AC6" s="461" t="s">
        <v>238</v>
      </c>
      <c r="AD6" s="462"/>
      <c r="AE6" s="463"/>
      <c r="AF6" s="31"/>
      <c r="AG6" s="31"/>
      <c r="AH6" s="31"/>
    </row>
    <row r="7" spans="1:34" ht="13.5" thickBot="1" x14ac:dyDescent="0.25">
      <c r="A7" s="467" t="s">
        <v>154</v>
      </c>
      <c r="B7" s="468"/>
      <c r="C7" s="468"/>
      <c r="D7" s="469"/>
      <c r="E7" s="440" t="s">
        <v>155</v>
      </c>
      <c r="F7" s="442"/>
      <c r="G7" s="440" t="s">
        <v>145</v>
      </c>
      <c r="H7" s="441"/>
      <c r="I7" s="442"/>
      <c r="J7" s="440" t="s">
        <v>89</v>
      </c>
      <c r="K7" s="442"/>
      <c r="L7" s="440" t="s">
        <v>148</v>
      </c>
      <c r="M7" s="442"/>
      <c r="N7" s="440" t="s">
        <v>167</v>
      </c>
      <c r="O7" s="441"/>
      <c r="P7" s="442"/>
      <c r="Q7" s="444" t="s">
        <v>200</v>
      </c>
      <c r="R7" s="445"/>
      <c r="S7" s="28" t="s">
        <v>202</v>
      </c>
      <c r="T7" s="28" t="s">
        <v>201</v>
      </c>
      <c r="U7" s="444" t="s">
        <v>204</v>
      </c>
      <c r="V7" s="445"/>
      <c r="W7" s="445"/>
      <c r="X7" s="440" t="s">
        <v>211</v>
      </c>
      <c r="Y7" s="498"/>
      <c r="Z7" s="482"/>
      <c r="AA7" s="483"/>
      <c r="AB7" s="484"/>
      <c r="AC7" s="461" t="s">
        <v>239</v>
      </c>
      <c r="AD7" s="462"/>
      <c r="AE7" s="463"/>
      <c r="AF7" s="31"/>
      <c r="AG7" s="31"/>
      <c r="AH7" s="31"/>
    </row>
    <row r="8" spans="1:34" ht="13.5" thickBot="1" x14ac:dyDescent="0.25">
      <c r="A8" s="467" t="s">
        <v>156</v>
      </c>
      <c r="B8" s="468"/>
      <c r="C8" s="468"/>
      <c r="D8" s="469"/>
      <c r="E8" s="440" t="s">
        <v>157</v>
      </c>
      <c r="F8" s="442"/>
      <c r="G8" s="440" t="s">
        <v>158</v>
      </c>
      <c r="H8" s="441"/>
      <c r="I8" s="442"/>
      <c r="J8" s="440" t="s">
        <v>152</v>
      </c>
      <c r="K8" s="442"/>
      <c r="L8" s="440" t="s">
        <v>159</v>
      </c>
      <c r="M8" s="442"/>
      <c r="N8" s="440" t="s">
        <v>166</v>
      </c>
      <c r="O8" s="441"/>
      <c r="P8" s="442"/>
      <c r="Q8" s="444" t="s">
        <v>205</v>
      </c>
      <c r="R8" s="445"/>
      <c r="S8" s="28" t="s">
        <v>206</v>
      </c>
      <c r="T8" s="28" t="s">
        <v>207</v>
      </c>
      <c r="U8" s="444" t="s">
        <v>208</v>
      </c>
      <c r="V8" s="445"/>
      <c r="W8" s="445"/>
      <c r="X8" s="478" t="s">
        <v>209</v>
      </c>
      <c r="Y8" s="498"/>
      <c r="Z8" s="482"/>
      <c r="AA8" s="483"/>
      <c r="AB8" s="484"/>
      <c r="AC8" s="474" t="s">
        <v>240</v>
      </c>
      <c r="AD8" s="475"/>
      <c r="AE8" s="476"/>
      <c r="AF8" s="31"/>
      <c r="AG8" s="31"/>
      <c r="AH8" s="31"/>
    </row>
    <row r="9" spans="1:34" ht="13.5" thickBot="1" x14ac:dyDescent="0.25">
      <c r="A9" s="34" t="s">
        <v>162</v>
      </c>
      <c r="B9" s="38"/>
      <c r="C9" s="39"/>
      <c r="D9" s="40"/>
      <c r="E9" s="440" t="s">
        <v>163</v>
      </c>
      <c r="F9" s="442"/>
      <c r="G9" s="440" t="s">
        <v>145</v>
      </c>
      <c r="H9" s="441"/>
      <c r="I9" s="442"/>
      <c r="J9" s="440" t="s">
        <v>89</v>
      </c>
      <c r="K9" s="442"/>
      <c r="L9" s="440" t="s">
        <v>164</v>
      </c>
      <c r="M9" s="442"/>
      <c r="N9" s="440" t="s">
        <v>165</v>
      </c>
      <c r="O9" s="441"/>
      <c r="P9" s="442"/>
      <c r="Q9" s="444" t="s">
        <v>214</v>
      </c>
      <c r="R9" s="445"/>
      <c r="S9" s="28" t="s">
        <v>202</v>
      </c>
      <c r="T9" s="28" t="s">
        <v>215</v>
      </c>
      <c r="U9" s="444" t="s">
        <v>216</v>
      </c>
      <c r="V9" s="445"/>
      <c r="W9" s="445"/>
      <c r="X9" s="440" t="s">
        <v>213</v>
      </c>
      <c r="Y9" s="498"/>
      <c r="Z9" s="482"/>
      <c r="AA9" s="483"/>
      <c r="AB9" s="484"/>
      <c r="AC9" s="474" t="s">
        <v>241</v>
      </c>
      <c r="AD9" s="475"/>
      <c r="AE9" s="476"/>
      <c r="AF9" s="31"/>
      <c r="AG9" s="31"/>
      <c r="AH9" s="31"/>
    </row>
    <row r="10" spans="1:34" ht="13.5" thickBot="1" x14ac:dyDescent="0.25">
      <c r="A10" s="451" t="s">
        <v>170</v>
      </c>
      <c r="B10" s="451"/>
      <c r="C10" s="451"/>
      <c r="D10" s="451"/>
      <c r="E10" s="451"/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64" t="s">
        <v>221</v>
      </c>
      <c r="R10" s="465"/>
      <c r="S10" s="465"/>
      <c r="T10" s="465"/>
      <c r="U10" s="465"/>
      <c r="V10" s="465"/>
      <c r="W10" s="465"/>
      <c r="X10" s="465"/>
      <c r="Y10" s="465"/>
      <c r="Z10" s="482"/>
      <c r="AA10" s="483"/>
      <c r="AB10" s="484"/>
      <c r="AC10" s="474" t="s">
        <v>247</v>
      </c>
      <c r="AD10" s="475"/>
      <c r="AE10" s="476"/>
      <c r="AF10" s="31"/>
      <c r="AG10" s="31"/>
      <c r="AH10" s="31"/>
    </row>
    <row r="11" spans="1:34" ht="13.5" thickBot="1" x14ac:dyDescent="0.25">
      <c r="A11" s="451" t="s">
        <v>169</v>
      </c>
      <c r="B11" s="451"/>
      <c r="C11" s="451" t="s">
        <v>171</v>
      </c>
      <c r="D11" s="451"/>
      <c r="E11" s="451" t="s">
        <v>172</v>
      </c>
      <c r="F11" s="451"/>
      <c r="G11" s="451"/>
      <c r="H11" s="451"/>
      <c r="I11" s="451"/>
      <c r="J11" s="491" t="s">
        <v>217</v>
      </c>
      <c r="K11" s="494"/>
      <c r="L11" s="494"/>
      <c r="M11" s="494"/>
      <c r="N11" s="492"/>
      <c r="O11" s="491" t="s">
        <v>257</v>
      </c>
      <c r="P11" s="492"/>
      <c r="Q11" s="470" t="s">
        <v>219</v>
      </c>
      <c r="R11" s="470"/>
      <c r="S11" s="470"/>
      <c r="T11" s="470" t="s">
        <v>220</v>
      </c>
      <c r="U11" s="470"/>
      <c r="V11" s="470"/>
      <c r="W11" s="470"/>
      <c r="X11" s="470"/>
      <c r="Y11" s="464"/>
      <c r="Z11" s="482"/>
      <c r="AA11" s="483"/>
      <c r="AB11" s="484"/>
      <c r="AC11" s="474" t="s">
        <v>248</v>
      </c>
      <c r="AD11" s="475"/>
      <c r="AE11" s="476"/>
      <c r="AF11" s="31"/>
      <c r="AG11" s="31"/>
      <c r="AH11" s="31"/>
    </row>
    <row r="12" spans="1:34" ht="13.5" thickBot="1" x14ac:dyDescent="0.25">
      <c r="A12" s="444" t="s">
        <v>173</v>
      </c>
      <c r="B12" s="445"/>
      <c r="C12" s="444" t="s">
        <v>174</v>
      </c>
      <c r="D12" s="445"/>
      <c r="E12" s="444" t="s">
        <v>175</v>
      </c>
      <c r="F12" s="444"/>
      <c r="G12" s="444"/>
      <c r="H12" s="444"/>
      <c r="I12" s="444"/>
      <c r="J12" s="440" t="s">
        <v>185</v>
      </c>
      <c r="K12" s="441"/>
      <c r="L12" s="441"/>
      <c r="M12" s="441"/>
      <c r="N12" s="442"/>
      <c r="O12" s="440" t="s">
        <v>258</v>
      </c>
      <c r="P12" s="442"/>
      <c r="Q12" s="443" t="s">
        <v>218</v>
      </c>
      <c r="R12" s="443"/>
      <c r="S12" s="443"/>
      <c r="T12" s="444" t="s">
        <v>222</v>
      </c>
      <c r="U12" s="445"/>
      <c r="V12" s="445"/>
      <c r="W12" s="445"/>
      <c r="X12" s="445"/>
      <c r="Y12" s="478"/>
      <c r="Z12" s="482"/>
      <c r="AA12" s="483"/>
      <c r="AB12" s="484"/>
      <c r="AC12" s="474" t="s">
        <v>249</v>
      </c>
      <c r="AD12" s="475"/>
      <c r="AE12" s="476"/>
      <c r="AF12" s="31"/>
      <c r="AG12" s="33"/>
      <c r="AH12" s="31"/>
    </row>
    <row r="13" spans="1:34" ht="13.5" thickBot="1" x14ac:dyDescent="0.25">
      <c r="A13" s="444" t="s">
        <v>176</v>
      </c>
      <c r="B13" s="445"/>
      <c r="C13" s="444" t="s">
        <v>177</v>
      </c>
      <c r="D13" s="445"/>
      <c r="E13" s="444" t="s">
        <v>178</v>
      </c>
      <c r="F13" s="444"/>
      <c r="G13" s="444"/>
      <c r="H13" s="444"/>
      <c r="I13" s="444"/>
      <c r="J13" s="440" t="s">
        <v>186</v>
      </c>
      <c r="K13" s="441"/>
      <c r="L13" s="441"/>
      <c r="M13" s="441"/>
      <c r="N13" s="442"/>
      <c r="O13" s="440" t="s">
        <v>258</v>
      </c>
      <c r="P13" s="442"/>
      <c r="Q13" s="443" t="s">
        <v>223</v>
      </c>
      <c r="R13" s="443"/>
      <c r="S13" s="443"/>
      <c r="T13" s="444" t="s">
        <v>224</v>
      </c>
      <c r="U13" s="444"/>
      <c r="V13" s="444"/>
      <c r="W13" s="444"/>
      <c r="X13" s="444"/>
      <c r="Y13" s="440"/>
      <c r="Z13" s="482"/>
      <c r="AA13" s="483"/>
      <c r="AB13" s="484"/>
      <c r="AC13" s="297"/>
      <c r="AD13" s="460"/>
      <c r="AE13" s="298"/>
      <c r="AF13" s="31"/>
      <c r="AG13" s="33"/>
      <c r="AH13" s="31"/>
    </row>
    <row r="14" spans="1:34" ht="13.5" thickBot="1" x14ac:dyDescent="0.25">
      <c r="A14" s="445" t="s">
        <v>179</v>
      </c>
      <c r="B14" s="445"/>
      <c r="C14" s="444" t="s">
        <v>180</v>
      </c>
      <c r="D14" s="445"/>
      <c r="E14" s="444" t="s">
        <v>181</v>
      </c>
      <c r="F14" s="444"/>
      <c r="G14" s="444"/>
      <c r="H14" s="444"/>
      <c r="I14" s="444"/>
      <c r="J14" s="440" t="s">
        <v>187</v>
      </c>
      <c r="K14" s="441"/>
      <c r="L14" s="441"/>
      <c r="M14" s="441"/>
      <c r="N14" s="442"/>
      <c r="O14" s="440" t="s">
        <v>26</v>
      </c>
      <c r="P14" s="442"/>
      <c r="Q14" s="443" t="s">
        <v>225</v>
      </c>
      <c r="R14" s="481"/>
      <c r="S14" s="481"/>
      <c r="T14" s="444" t="s">
        <v>226</v>
      </c>
      <c r="U14" s="445"/>
      <c r="V14" s="445"/>
      <c r="W14" s="445"/>
      <c r="X14" s="445"/>
      <c r="Y14" s="478"/>
      <c r="Z14" s="482"/>
      <c r="AA14" s="483"/>
      <c r="AB14" s="484"/>
      <c r="AC14" s="297"/>
      <c r="AD14" s="460"/>
      <c r="AE14" s="298"/>
      <c r="AF14" s="31"/>
      <c r="AG14" s="33"/>
      <c r="AH14" s="31"/>
    </row>
    <row r="15" spans="1:34" ht="13.5" thickBot="1" x14ac:dyDescent="0.25">
      <c r="A15" s="444" t="s">
        <v>182</v>
      </c>
      <c r="B15" s="445"/>
      <c r="C15" s="444" t="s">
        <v>183</v>
      </c>
      <c r="D15" s="445"/>
      <c r="E15" s="444" t="s">
        <v>184</v>
      </c>
      <c r="F15" s="444"/>
      <c r="G15" s="444"/>
      <c r="H15" s="444"/>
      <c r="I15" s="444"/>
      <c r="J15" s="440" t="s">
        <v>188</v>
      </c>
      <c r="K15" s="441"/>
      <c r="L15" s="441"/>
      <c r="M15" s="441"/>
      <c r="N15" s="442"/>
      <c r="O15" s="440" t="s">
        <v>26</v>
      </c>
      <c r="P15" s="442"/>
      <c r="Q15" s="443" t="s">
        <v>227</v>
      </c>
      <c r="R15" s="443"/>
      <c r="S15" s="443"/>
      <c r="T15" s="444" t="s">
        <v>228</v>
      </c>
      <c r="U15" s="445"/>
      <c r="V15" s="445"/>
      <c r="W15" s="445"/>
      <c r="X15" s="445"/>
      <c r="Y15" s="478"/>
      <c r="Z15" s="482"/>
      <c r="AA15" s="483"/>
      <c r="AB15" s="484"/>
      <c r="AC15" s="297"/>
      <c r="AD15" s="460"/>
      <c r="AE15" s="298"/>
      <c r="AF15" s="31"/>
      <c r="AG15" s="33"/>
      <c r="AH15" s="31"/>
    </row>
    <row r="16" spans="1:34" ht="13.5" thickBot="1" x14ac:dyDescent="0.25">
      <c r="A16" s="444" t="s">
        <v>232</v>
      </c>
      <c r="B16" s="445"/>
      <c r="C16" s="444" t="s">
        <v>233</v>
      </c>
      <c r="D16" s="445"/>
      <c r="E16" s="444" t="s">
        <v>234</v>
      </c>
      <c r="F16" s="445"/>
      <c r="G16" s="445"/>
      <c r="H16" s="445"/>
      <c r="I16" s="445"/>
      <c r="J16" s="440" t="s">
        <v>235</v>
      </c>
      <c r="K16" s="441"/>
      <c r="L16" s="441"/>
      <c r="M16" s="441"/>
      <c r="N16" s="442"/>
      <c r="O16" s="440" t="s">
        <v>258</v>
      </c>
      <c r="P16" s="493"/>
      <c r="Q16" s="490" t="s">
        <v>229</v>
      </c>
      <c r="R16" s="490"/>
      <c r="S16" s="490"/>
      <c r="T16" s="444" t="s">
        <v>230</v>
      </c>
      <c r="U16" s="445"/>
      <c r="V16" s="445"/>
      <c r="W16" s="445"/>
      <c r="X16" s="445"/>
      <c r="Y16" s="478"/>
      <c r="Z16" s="482"/>
      <c r="AA16" s="483"/>
      <c r="AB16" s="484"/>
      <c r="AC16" s="297"/>
      <c r="AD16" s="460"/>
      <c r="AE16" s="298"/>
      <c r="AF16" s="31"/>
      <c r="AG16" s="33"/>
      <c r="AH16" s="31"/>
    </row>
    <row r="17" spans="1:34" ht="13.5" thickBot="1" x14ac:dyDescent="0.25">
      <c r="A17" s="444" t="s">
        <v>242</v>
      </c>
      <c r="B17" s="445"/>
      <c r="C17" s="444" t="s">
        <v>243</v>
      </c>
      <c r="D17" s="444"/>
      <c r="E17" s="444" t="s">
        <v>244</v>
      </c>
      <c r="F17" s="445"/>
      <c r="G17" s="445"/>
      <c r="H17" s="445"/>
      <c r="I17" s="445"/>
      <c r="J17" s="440" t="s">
        <v>250</v>
      </c>
      <c r="K17" s="441"/>
      <c r="L17" s="441"/>
      <c r="M17" s="441"/>
      <c r="N17" s="442"/>
      <c r="O17" s="440" t="s">
        <v>26</v>
      </c>
      <c r="P17" s="493"/>
      <c r="Q17" s="445"/>
      <c r="R17" s="445"/>
      <c r="S17" s="445"/>
      <c r="T17" s="445"/>
      <c r="U17" s="445"/>
      <c r="V17" s="445"/>
      <c r="W17" s="445"/>
      <c r="X17" s="445"/>
      <c r="Y17" s="445"/>
      <c r="Z17" s="485"/>
      <c r="AA17" s="486"/>
      <c r="AB17" s="486"/>
      <c r="AC17" s="473"/>
      <c r="AD17" s="473"/>
      <c r="AE17" s="473"/>
      <c r="AF17" s="31"/>
      <c r="AG17" s="33"/>
      <c r="AH17" s="31"/>
    </row>
    <row r="21" spans="1:34" ht="13.5" thickBot="1" x14ac:dyDescent="0.25"/>
    <row r="22" spans="1:34" ht="13.5" thickBot="1" x14ac:dyDescent="0.25">
      <c r="A22" s="450" t="s">
        <v>118</v>
      </c>
      <c r="B22" s="450"/>
      <c r="C22" s="450"/>
      <c r="D22" s="30" t="s">
        <v>119</v>
      </c>
      <c r="E22" s="31"/>
      <c r="F22" s="31"/>
      <c r="G22" s="31"/>
      <c r="H22" s="31"/>
      <c r="I22" s="31"/>
      <c r="J22" s="31"/>
      <c r="K22" s="31"/>
      <c r="O22" s="3"/>
    </row>
    <row r="23" spans="1:34" ht="13.5" thickBot="1" x14ac:dyDescent="0.25">
      <c r="A23" s="443" t="s">
        <v>92</v>
      </c>
      <c r="B23" s="443"/>
      <c r="C23" s="443"/>
      <c r="D23" s="452" t="s">
        <v>123</v>
      </c>
      <c r="E23" s="452"/>
      <c r="F23" s="452"/>
      <c r="G23" s="452"/>
      <c r="H23" s="453"/>
      <c r="I23" s="453"/>
      <c r="J23" s="453"/>
      <c r="K23" s="453"/>
      <c r="O23" s="3"/>
    </row>
    <row r="24" spans="1:34" ht="13.5" thickBot="1" x14ac:dyDescent="0.25">
      <c r="A24" s="443" t="s">
        <v>93</v>
      </c>
      <c r="B24" s="443"/>
      <c r="C24" s="356" t="s">
        <v>120</v>
      </c>
      <c r="D24" s="357"/>
      <c r="E24" s="357"/>
      <c r="F24" s="357"/>
      <c r="G24" s="446"/>
      <c r="H24" s="352" t="s">
        <v>68</v>
      </c>
      <c r="I24" s="447"/>
      <c r="J24" s="440" t="s">
        <v>89</v>
      </c>
      <c r="K24" s="442"/>
      <c r="L24" s="18" t="s">
        <v>121</v>
      </c>
      <c r="M24" s="448" t="s">
        <v>122</v>
      </c>
      <c r="N24" s="448"/>
      <c r="O24" s="449"/>
      <c r="P24" s="443" t="s">
        <v>138</v>
      </c>
      <c r="Q24" s="443"/>
      <c r="R24" s="444" t="s">
        <v>139</v>
      </c>
      <c r="S24" s="445"/>
    </row>
    <row r="25" spans="1:34" ht="13.5" thickBot="1" x14ac:dyDescent="0.25">
      <c r="A25" s="29" t="s">
        <v>94</v>
      </c>
      <c r="B25" s="440" t="s">
        <v>124</v>
      </c>
      <c r="C25" s="441"/>
      <c r="D25" s="441"/>
      <c r="E25" s="441"/>
      <c r="F25" s="441"/>
      <c r="G25" s="442"/>
      <c r="H25" s="352" t="s">
        <v>95</v>
      </c>
      <c r="I25" s="353"/>
      <c r="J25" s="440" t="s">
        <v>125</v>
      </c>
      <c r="K25" s="441"/>
      <c r="L25" s="441"/>
      <c r="M25" s="441"/>
      <c r="N25" s="441"/>
      <c r="O25" s="442"/>
      <c r="P25" s="352" t="s">
        <v>126</v>
      </c>
      <c r="Q25" s="353"/>
      <c r="R25" s="440" t="s">
        <v>127</v>
      </c>
      <c r="S25" s="442"/>
    </row>
    <row r="27" spans="1:34" ht="13.5" thickBot="1" x14ac:dyDescent="0.25"/>
    <row r="28" spans="1:34" x14ac:dyDescent="0.2">
      <c r="G28" s="438" t="s">
        <v>128</v>
      </c>
      <c r="H28" s="439"/>
      <c r="I28" s="436" t="s">
        <v>160</v>
      </c>
      <c r="J28" s="437"/>
    </row>
    <row r="29" spans="1:34" x14ac:dyDescent="0.2">
      <c r="G29" s="20" t="s">
        <v>99</v>
      </c>
      <c r="H29" s="21" t="s">
        <v>100</v>
      </c>
      <c r="I29" s="20" t="s">
        <v>99</v>
      </c>
      <c r="J29" s="21" t="s">
        <v>100</v>
      </c>
    </row>
    <row r="30" spans="1:34" x14ac:dyDescent="0.2">
      <c r="G30" s="32" t="s">
        <v>129</v>
      </c>
      <c r="H30" s="26" t="s">
        <v>130</v>
      </c>
      <c r="I30" s="23" t="s">
        <v>103</v>
      </c>
      <c r="J30" s="24"/>
    </row>
    <row r="31" spans="1:34" x14ac:dyDescent="0.2">
      <c r="G31" s="19"/>
      <c r="H31" s="25" t="s">
        <v>131</v>
      </c>
      <c r="I31" s="19" t="s">
        <v>101</v>
      </c>
      <c r="J31" s="25" t="s">
        <v>111</v>
      </c>
    </row>
    <row r="32" spans="1:34" x14ac:dyDescent="0.2">
      <c r="G32" s="19"/>
      <c r="H32" s="25" t="s">
        <v>132</v>
      </c>
      <c r="I32" s="19" t="s">
        <v>102</v>
      </c>
      <c r="J32" s="25" t="s">
        <v>110</v>
      </c>
    </row>
    <row r="33" spans="7:10" x14ac:dyDescent="0.2">
      <c r="G33" s="23"/>
      <c r="H33" s="26" t="s">
        <v>133</v>
      </c>
      <c r="I33" s="23" t="s">
        <v>104</v>
      </c>
      <c r="J33" s="26"/>
    </row>
    <row r="34" spans="7:10" x14ac:dyDescent="0.2">
      <c r="G34" s="19"/>
      <c r="H34" s="44" t="s">
        <v>96</v>
      </c>
      <c r="I34" s="19" t="s">
        <v>105</v>
      </c>
      <c r="J34" s="26" t="s">
        <v>112</v>
      </c>
    </row>
    <row r="35" spans="7:10" x14ac:dyDescent="0.2">
      <c r="G35" s="19"/>
      <c r="H35" s="5" t="s">
        <v>134</v>
      </c>
      <c r="I35" s="19" t="s">
        <v>106</v>
      </c>
      <c r="J35" s="26" t="s">
        <v>113</v>
      </c>
    </row>
    <row r="36" spans="7:10" x14ac:dyDescent="0.2">
      <c r="G36" s="23"/>
      <c r="H36" s="25" t="s">
        <v>135</v>
      </c>
      <c r="I36" s="23" t="s">
        <v>109</v>
      </c>
      <c r="J36" s="24"/>
    </row>
    <row r="37" spans="7:10" x14ac:dyDescent="0.2">
      <c r="G37" s="19"/>
      <c r="H37" s="25" t="s">
        <v>136</v>
      </c>
      <c r="I37" s="19" t="s">
        <v>107</v>
      </c>
      <c r="J37" s="25" t="s">
        <v>114</v>
      </c>
    </row>
    <row r="38" spans="7:10" ht="13.5" thickBot="1" x14ac:dyDescent="0.25">
      <c r="G38" s="22"/>
      <c r="H38" s="27" t="s">
        <v>137</v>
      </c>
      <c r="I38" s="22" t="s">
        <v>108</v>
      </c>
      <c r="J38" s="27" t="s">
        <v>115</v>
      </c>
    </row>
  </sheetData>
  <mergeCells count="140">
    <mergeCell ref="AF3:AH3"/>
    <mergeCell ref="Q15:S15"/>
    <mergeCell ref="Q16:S16"/>
    <mergeCell ref="T11:Y11"/>
    <mergeCell ref="T12:Y12"/>
    <mergeCell ref="T13:Y13"/>
    <mergeCell ref="J17:N17"/>
    <mergeCell ref="O11:P11"/>
    <mergeCell ref="O12:P12"/>
    <mergeCell ref="O13:P13"/>
    <mergeCell ref="O14:P14"/>
    <mergeCell ref="O15:P15"/>
    <mergeCell ref="O16:P16"/>
    <mergeCell ref="O17:P17"/>
    <mergeCell ref="J11:N11"/>
    <mergeCell ref="J12:N12"/>
    <mergeCell ref="Q3:Y3"/>
    <mergeCell ref="X9:Y9"/>
    <mergeCell ref="X8:Y8"/>
    <mergeCell ref="X7:Y7"/>
    <mergeCell ref="X6:Y6"/>
    <mergeCell ref="X5:Y5"/>
    <mergeCell ref="J13:N13"/>
    <mergeCell ref="J14:N14"/>
    <mergeCell ref="Z4:AB4"/>
    <mergeCell ref="AC9:AE9"/>
    <mergeCell ref="AC10:AE10"/>
    <mergeCell ref="AC11:AE11"/>
    <mergeCell ref="Q4:R4"/>
    <mergeCell ref="U4:W4"/>
    <mergeCell ref="Q5:R5"/>
    <mergeCell ref="U5:W5"/>
    <mergeCell ref="T14:Y14"/>
    <mergeCell ref="X4:Y4"/>
    <mergeCell ref="AC12:AE12"/>
    <mergeCell ref="AC13:AE13"/>
    <mergeCell ref="Q13:S13"/>
    <mergeCell ref="Q14:S14"/>
    <mergeCell ref="Z5:AB17"/>
    <mergeCell ref="AC16:AE16"/>
    <mergeCell ref="AC7:AE7"/>
    <mergeCell ref="AC8:AE8"/>
    <mergeCell ref="Q9:R9"/>
    <mergeCell ref="U9:W9"/>
    <mergeCell ref="T15:Y15"/>
    <mergeCell ref="T16:Y16"/>
    <mergeCell ref="Q10:Y10"/>
    <mergeCell ref="Q11:S11"/>
    <mergeCell ref="Q17:S17"/>
    <mergeCell ref="T17:Y17"/>
    <mergeCell ref="AC17:AE17"/>
    <mergeCell ref="A8:D8"/>
    <mergeCell ref="E8:F8"/>
    <mergeCell ref="J8:K8"/>
    <mergeCell ref="L8:M8"/>
    <mergeCell ref="A15:B15"/>
    <mergeCell ref="C15:D15"/>
    <mergeCell ref="A12:B12"/>
    <mergeCell ref="C12:D12"/>
    <mergeCell ref="A13:B13"/>
    <mergeCell ref="C13:D13"/>
    <mergeCell ref="A10:P10"/>
    <mergeCell ref="E11:I11"/>
    <mergeCell ref="E12:I12"/>
    <mergeCell ref="E13:I13"/>
    <mergeCell ref="E14:I14"/>
    <mergeCell ref="E15:I15"/>
    <mergeCell ref="A14:B14"/>
    <mergeCell ref="C14:D14"/>
    <mergeCell ref="E9:F9"/>
    <mergeCell ref="J15:N15"/>
    <mergeCell ref="A7:D7"/>
    <mergeCell ref="E7:F7"/>
    <mergeCell ref="L4:M4"/>
    <mergeCell ref="A4:D4"/>
    <mergeCell ref="E4:F4"/>
    <mergeCell ref="A3:P3"/>
    <mergeCell ref="E5:F5"/>
    <mergeCell ref="G5:I5"/>
    <mergeCell ref="J5:K5"/>
    <mergeCell ref="L5:M5"/>
    <mergeCell ref="A6:D6"/>
    <mergeCell ref="E6:F6"/>
    <mergeCell ref="G6:I6"/>
    <mergeCell ref="J6:K6"/>
    <mergeCell ref="L6:M6"/>
    <mergeCell ref="G4:I4"/>
    <mergeCell ref="J4:K4"/>
    <mergeCell ref="G7:I7"/>
    <mergeCell ref="J7:K7"/>
    <mergeCell ref="Z3:AE3"/>
    <mergeCell ref="AC4:AE4"/>
    <mergeCell ref="AC14:AE14"/>
    <mergeCell ref="AC15:AE15"/>
    <mergeCell ref="AC5:AE5"/>
    <mergeCell ref="AC6:AE6"/>
    <mergeCell ref="L7:M7"/>
    <mergeCell ref="G8:I8"/>
    <mergeCell ref="N4:P4"/>
    <mergeCell ref="N5:P5"/>
    <mergeCell ref="N6:P6"/>
    <mergeCell ref="N7:P7"/>
    <mergeCell ref="N8:P8"/>
    <mergeCell ref="Q6:R6"/>
    <mergeCell ref="Q7:R7"/>
    <mergeCell ref="Q8:R8"/>
    <mergeCell ref="U6:W6"/>
    <mergeCell ref="U7:W7"/>
    <mergeCell ref="U8:W8"/>
    <mergeCell ref="G9:I9"/>
    <mergeCell ref="J9:K9"/>
    <mergeCell ref="L9:M9"/>
    <mergeCell ref="N9:P9"/>
    <mergeCell ref="Q12:S12"/>
    <mergeCell ref="A22:C22"/>
    <mergeCell ref="A17:B17"/>
    <mergeCell ref="C17:D17"/>
    <mergeCell ref="E17:I17"/>
    <mergeCell ref="A11:B11"/>
    <mergeCell ref="C11:D11"/>
    <mergeCell ref="A16:B16"/>
    <mergeCell ref="C16:D16"/>
    <mergeCell ref="D23:K23"/>
    <mergeCell ref="A23:C23"/>
    <mergeCell ref="E16:I16"/>
    <mergeCell ref="J16:N16"/>
    <mergeCell ref="I28:J28"/>
    <mergeCell ref="G28:H28"/>
    <mergeCell ref="B25:G25"/>
    <mergeCell ref="H25:I25"/>
    <mergeCell ref="J25:O25"/>
    <mergeCell ref="P25:Q25"/>
    <mergeCell ref="R25:S25"/>
    <mergeCell ref="P24:Q24"/>
    <mergeCell ref="R24:S24"/>
    <mergeCell ref="A24:B24"/>
    <mergeCell ref="C24:G24"/>
    <mergeCell ref="H24:I24"/>
    <mergeCell ref="J24:K24"/>
    <mergeCell ref="M24:O2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CBC51-5719-4D08-AA1C-E2F40CD086D5}">
  <sheetPr codeName="Hoja3"/>
  <dimension ref="B3:B46"/>
  <sheetViews>
    <sheetView workbookViewId="0">
      <selection activeCell="F30" sqref="F30"/>
    </sheetView>
  </sheetViews>
  <sheetFormatPr baseColWidth="10" defaultRowHeight="12.75" x14ac:dyDescent="0.2"/>
  <cols>
    <col min="2" max="2" width="17.7109375" customWidth="1"/>
  </cols>
  <sheetData>
    <row r="3" spans="2:2" x14ac:dyDescent="0.2">
      <c r="B3" s="51" t="s">
        <v>283</v>
      </c>
    </row>
    <row r="4" spans="2:2" x14ac:dyDescent="0.2">
      <c r="B4" s="52">
        <v>1</v>
      </c>
    </row>
    <row r="5" spans="2:2" x14ac:dyDescent="0.2">
      <c r="B5" s="52">
        <v>1.5</v>
      </c>
    </row>
    <row r="6" spans="2:2" x14ac:dyDescent="0.2">
      <c r="B6" s="52">
        <v>2</v>
      </c>
    </row>
    <row r="7" spans="2:2" x14ac:dyDescent="0.2">
      <c r="B7" s="52">
        <v>2.5</v>
      </c>
    </row>
    <row r="8" spans="2:2" x14ac:dyDescent="0.2">
      <c r="B8" s="52">
        <v>3</v>
      </c>
    </row>
    <row r="11" spans="2:2" x14ac:dyDescent="0.2">
      <c r="B11" s="8" t="s">
        <v>284</v>
      </c>
    </row>
    <row r="12" spans="2:2" x14ac:dyDescent="0.2">
      <c r="B12" s="9">
        <v>0.05</v>
      </c>
    </row>
    <row r="13" spans="2:2" x14ac:dyDescent="0.2">
      <c r="B13" s="9">
        <v>0.15</v>
      </c>
    </row>
    <row r="14" spans="2:2" x14ac:dyDescent="0.2">
      <c r="B14" s="9">
        <v>0.3</v>
      </c>
    </row>
    <row r="15" spans="2:2" x14ac:dyDescent="0.2">
      <c r="B15" s="9">
        <v>0.55000000000000004</v>
      </c>
    </row>
    <row r="16" spans="2:2" x14ac:dyDescent="0.2">
      <c r="B16" s="9">
        <v>0.85</v>
      </c>
    </row>
    <row r="19" spans="2:2" x14ac:dyDescent="0.2">
      <c r="B19" s="6" t="s">
        <v>285</v>
      </c>
    </row>
    <row r="20" spans="2:2" x14ac:dyDescent="0.2">
      <c r="B20" s="179">
        <v>0.05</v>
      </c>
    </row>
    <row r="21" spans="2:2" x14ac:dyDescent="0.2">
      <c r="B21" s="179">
        <v>0.15</v>
      </c>
    </row>
    <row r="22" spans="2:2" x14ac:dyDescent="0.2">
      <c r="B22" s="179">
        <v>0.3</v>
      </c>
    </row>
    <row r="23" spans="2:2" x14ac:dyDescent="0.2">
      <c r="B23" s="179">
        <v>0.55000000000000004</v>
      </c>
    </row>
    <row r="24" spans="2:2" ht="13.5" thickBot="1" x14ac:dyDescent="0.25">
      <c r="B24" s="194">
        <v>0.85</v>
      </c>
    </row>
    <row r="26" spans="2:2" x14ac:dyDescent="0.2">
      <c r="B26" s="1" t="s">
        <v>287</v>
      </c>
    </row>
    <row r="27" spans="2:2" x14ac:dyDescent="0.2">
      <c r="B27" s="180">
        <v>0.5</v>
      </c>
    </row>
    <row r="28" spans="2:2" x14ac:dyDescent="0.2">
      <c r="B28" s="180">
        <v>0.15</v>
      </c>
    </row>
    <row r="29" spans="2:2" x14ac:dyDescent="0.2">
      <c r="B29" s="180">
        <v>0.35</v>
      </c>
    </row>
    <row r="30" spans="2:2" x14ac:dyDescent="0.2">
      <c r="B30" s="181">
        <v>0.7</v>
      </c>
    </row>
    <row r="31" spans="2:2" ht="13.5" thickBot="1" x14ac:dyDescent="0.25">
      <c r="B31" s="201">
        <v>1</v>
      </c>
    </row>
    <row r="36" spans="2:2" x14ac:dyDescent="0.2">
      <c r="B36" s="1" t="s">
        <v>289</v>
      </c>
    </row>
    <row r="37" spans="2:2" x14ac:dyDescent="0.2">
      <c r="B37" s="2" t="s">
        <v>290</v>
      </c>
    </row>
    <row r="38" spans="2:2" x14ac:dyDescent="0.2">
      <c r="B38" s="2" t="s">
        <v>291</v>
      </c>
    </row>
    <row r="39" spans="2:2" x14ac:dyDescent="0.2">
      <c r="B39" s="2" t="s">
        <v>292</v>
      </c>
    </row>
    <row r="41" spans="2:2" x14ac:dyDescent="0.2">
      <c r="B41" s="8" t="s">
        <v>293</v>
      </c>
    </row>
    <row r="42" spans="2:2" x14ac:dyDescent="0.2">
      <c r="B42" s="181">
        <v>0.04</v>
      </c>
    </row>
    <row r="43" spans="2:2" x14ac:dyDescent="0.2">
      <c r="B43" s="181">
        <v>0.1</v>
      </c>
    </row>
    <row r="44" spans="2:2" x14ac:dyDescent="0.2">
      <c r="B44" s="181">
        <v>0.25</v>
      </c>
    </row>
    <row r="45" spans="2:2" x14ac:dyDescent="0.2">
      <c r="B45" s="181">
        <v>0.55000000000000004</v>
      </c>
    </row>
    <row r="46" spans="2:2" ht="13.5" thickBot="1" x14ac:dyDescent="0.25">
      <c r="B46" s="202">
        <v>0.85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Formato</vt:lpstr>
      <vt:lpstr>Referencias </vt:lpstr>
      <vt:lpstr>Mapa de calor </vt:lpstr>
      <vt:lpstr>EvaluacionMC</vt:lpstr>
      <vt:lpstr>Hoja2</vt:lpstr>
      <vt:lpstr>Datos </vt:lpstr>
      <vt:lpstr>EvaluacionMC!Área_de_impresión</vt:lpstr>
      <vt:lpstr>'Mapa de calor '!Área_de_impresión</vt:lpstr>
    </vt:vector>
  </TitlesOfParts>
  <Manager/>
  <Company>LP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LP</dc:creator>
  <cp:keywords/>
  <dc:description/>
  <cp:lastModifiedBy>Frank Palomo</cp:lastModifiedBy>
  <cp:revision/>
  <dcterms:created xsi:type="dcterms:W3CDTF">2008-02-21T16:48:38Z</dcterms:created>
  <dcterms:modified xsi:type="dcterms:W3CDTF">2025-07-19T14:22:12Z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##ID##">
    <vt:lpwstr>75492</vt:lpwstr>
  </property>
  <property fmtid="{D5CDD505-2E9C-101B-9397-08002B2CF9AE}" pid="3" name="##ZID##">
    <vt:lpwstr>00075492</vt:lpwstr>
  </property>
  <property fmtid="{D5CDD505-2E9C-101B-9397-08002B2CF9AE}" pid="4" name="##STATUS##">
    <vt:lpwstr>Published</vt:lpwstr>
  </property>
  <property fmtid="{D5CDD505-2E9C-101B-9397-08002B2CF9AE}" pid="5" name="##TITLE##">
    <vt:lpwstr>PCTSEP-F03-I01 Evaluación de riesgos</vt:lpwstr>
  </property>
  <property fmtid="{D5CDD505-2E9C-101B-9397-08002B2CF9AE}" pid="6" name="##SERVER##/">
    <vt:lpwstr>http://qualtrax/</vt:lpwstr>
  </property>
  <property fmtid="{D5CDD505-2E9C-101B-9397-08002B2CF9AE}" pid="7" name="##SERVER##">
    <vt:lpwstr>http://qualtrax/</vt:lpwstr>
  </property>
  <property fmtid="{D5CDD505-2E9C-101B-9397-08002B2CF9AE}" pid="8" name="##REVISION##">
    <vt:lpwstr>1</vt:lpwstr>
  </property>
  <property fmtid="{D5CDD505-2E9C-101B-9397-08002B2CF9AE}" pid="9" name="##STANDARDS##">
    <vt:lpwstr>Control interno</vt:lpwstr>
  </property>
  <property fmtid="{D5CDD505-2E9C-101B-9397-08002B2CF9AE}" pid="10" name="##DOCUMENT_MANAGER##">
    <vt:lpwstr>Luis Gabriel Gonzalez Iñiguez</vt:lpwstr>
  </property>
  <property fmtid="{D5CDD505-2E9C-101B-9397-08002B2CF9AE}" pid="11" name="##OLD_EDITOR##">
    <vt:lpwstr> </vt:lpwstr>
  </property>
  <property fmtid="{D5CDD505-2E9C-101B-9397-08002B2CF9AE}" pid="12" name="##EDITOR##">
    <vt:lpwstr>Adriana Carrillo Macias, Analista de documentos</vt:lpwstr>
  </property>
  <property fmtid="{D5CDD505-2E9C-101B-9397-08002B2CF9AE}" pid="13" name="##EXTENSION##">
    <vt:lpwstr>XLS</vt:lpwstr>
  </property>
  <property fmtid="{D5CDD505-2E9C-101B-9397-08002B2CF9AE}" pid="14" name="##EXTENSION_DESC##">
    <vt:lpwstr>Documento en Excel</vt:lpwstr>
  </property>
  <property fmtid="{D5CDD505-2E9C-101B-9397-08002B2CF9AE}" pid="15" name="##EDIT_EXTENSION##">
    <vt:lpwstr> </vt:lpwstr>
  </property>
  <property fmtid="{D5CDD505-2E9C-101B-9397-08002B2CF9AE}" pid="16" name="##DATE_STARTED##">
    <vt:lpwstr>17/07/2015 01:07:28 p.m.</vt:lpwstr>
  </property>
  <property fmtid="{D5CDD505-2E9C-101B-9397-08002B2CF9AE}" pid="17" name="##DATE_RELEASED##">
    <vt:lpwstr>23/07/2015 09:51:19 a.m.</vt:lpwstr>
  </property>
  <property fmtid="{D5CDD505-2E9C-101B-9397-08002B2CF9AE}" pid="18" name="##APPROVERS##">
    <vt:lpwstr>Luis Gabriel Gonzalez Iñiguez</vt:lpwstr>
  </property>
  <property fmtid="{D5CDD505-2E9C-101B-9397-08002B2CF9AE}" pid="19" name="##APPROVAL_RECORD##">
    <vt:lpwstr>Luis Gabriel Gonzalez Iñiguez Approved on 28/07/2015 09:28:45 a.m.</vt:lpwstr>
  </property>
  <property fmtid="{D5CDD505-2E9C-101B-9397-08002B2CF9AE}" pid="20" name="##APPROVAL_RECORD_MULTILINE##">
    <vt:lpwstr>Luis Gabriel Gonzalez Iñiguez Approved on 28/07/2015 09:28:45 a.m.</vt:lpwstr>
  </property>
  <property fmtid="{D5CDD505-2E9C-101B-9397-08002B2CF9AE}" pid="21" name="##APPROVED_BY##">
    <vt:lpwstr>Luis Gabriel Gonzalez Iñiguez</vt:lpwstr>
  </property>
  <property fmtid="{D5CDD505-2E9C-101B-9397-08002B2CF9AE}" pid="22" name="##DATE_APPROVED##">
    <vt:lpwstr>28/07/2015 09:28:45 a.m.</vt:lpwstr>
  </property>
  <property fmtid="{D5CDD505-2E9C-101B-9397-08002B2CF9AE}" pid="23" name="##REVISION_NOTE##">
    <vt:lpwstr>CAMBIO: QTXAD-067-15_x000d_
_x000d_
1.- Documento de nueva creación._x000d_
_x000d_
"No se requiere registro de capacitación en SAP ya que se cubre con la certificación del puesto”._x000d_
	_x000d_
Solicitó: Héctor Alvarado Gálvez, Supervisor de seguridad.</vt:lpwstr>
  </property>
  <property fmtid="{D5CDD505-2E9C-101B-9397-08002B2CF9AE}" pid="24" name="##DATE_PUBLISHED##">
    <vt:lpwstr>28/07/2015 09:28:46 a.m.</vt:lpwstr>
  </property>
  <property fmtid="{D5CDD505-2E9C-101B-9397-08002B2CF9AE}" pid="25" name="##DATE_FIRST_PUBLISHED##">
    <vt:lpwstr>28/07/2015 09:28:46 a.m.</vt:lpwstr>
  </property>
  <property fmtid="{D5CDD505-2E9C-101B-9397-08002B2CF9AE}" pid="26" name="##DATE_RETIRED##">
    <vt:lpwstr> </vt:lpwstr>
  </property>
  <property fmtid="{D5CDD505-2E9C-101B-9397-08002B2CF9AE}" pid="27" name="##DATE_REJECTED##">
    <vt:lpwstr> </vt:lpwstr>
  </property>
  <property fmtid="{D5CDD505-2E9C-101B-9397-08002B2CF9AE}" pid="28" name="##REJECTION_REASON##">
    <vt:lpwstr> </vt:lpwstr>
  </property>
  <property fmtid="{D5CDD505-2E9C-101B-9397-08002B2CF9AE}" pid="29" name="##REJECTED_BY##">
    <vt:lpwstr> </vt:lpwstr>
  </property>
  <property fmtid="{D5CDD505-2E9C-101B-9397-08002B2CF9AE}" pid="30" name="##RETIRED_BY##">
    <vt:lpwstr> </vt:lpwstr>
  </property>
  <property fmtid="{D5CDD505-2E9C-101B-9397-08002B2CF9AE}" pid="31" name="##RETIREMENT_REASON##">
    <vt:lpwstr> </vt:lpwstr>
  </property>
  <property fmtid="{D5CDD505-2E9C-101B-9397-08002B2CF9AE}" pid="32" name="##DATE_EXPIRED##">
    <vt:lpwstr>28/07/2018 12:00:00 a.m.</vt:lpwstr>
  </property>
  <property fmtid="{D5CDD505-2E9C-101B-9397-08002B2CF9AE}" pid="33" name="##EDIT_REASON##">
    <vt:lpwstr> </vt:lpwstr>
  </property>
  <property fmtid="{D5CDD505-2E9C-101B-9397-08002B2CF9AE}" pid="34" name="##REVIEWERS##">
    <vt:lpwstr> </vt:lpwstr>
  </property>
  <property fmtid="{D5CDD505-2E9C-101B-9397-08002B2CF9AE}" pid="35" name="##REVIEW_RECORD##">
    <vt:lpwstr>No Approvals on Record yet</vt:lpwstr>
  </property>
  <property fmtid="{D5CDD505-2E9C-101B-9397-08002B2CF9AE}" pid="36" name="##REVIEWED_BY##">
    <vt:lpwstr> </vt:lpwstr>
  </property>
  <property fmtid="{D5CDD505-2E9C-101B-9397-08002B2CF9AE}" pid="37" name="##REVIEWED_COMMENTS##">
    <vt:lpwstr> </vt:lpwstr>
  </property>
  <property fmtid="{D5CDD505-2E9C-101B-9397-08002B2CF9AE}" pid="38" name="##DATE_REVIEWED##">
    <vt:lpwstr> </vt:lpwstr>
  </property>
  <property fmtid="{D5CDD505-2E9C-101B-9397-08002B2CF9AE}" pid="39" name="##DATE_RELEASED_FOR_REVIEW##">
    <vt:lpwstr> </vt:lpwstr>
  </property>
  <property fmtid="{D5CDD505-2E9C-101B-9397-08002B2CF9AE}" pid="40" name="##TIPO_DE_DOCUMENTO##">
    <vt:lpwstr>Formato</vt:lpwstr>
  </property>
  <property fmtid="{D5CDD505-2E9C-101B-9397-08002B2CF9AE}" pid="41" name="##EMPRESA##">
    <vt:lpwstr>PiSA</vt:lpwstr>
  </property>
  <property fmtid="{D5CDD505-2E9C-101B-9397-08002B2CF9AE}" pid="42" name="##PROCESO_AL_QUE_PERTENECE##">
    <vt:lpwstr>Planeación,  Control y Transformación</vt:lpwstr>
  </property>
  <property fmtid="{D5CDD505-2E9C-101B-9397-08002B2CF9AE}" pid="43" name="##UBICACIÓN##">
    <vt:lpwstr>Avenida España</vt:lpwstr>
  </property>
  <property fmtid="{D5CDD505-2E9C-101B-9397-08002B2CF9AE}" pid="44" name="##FECHA_DE_RETIRO##">
    <vt:lpwstr> </vt:lpwstr>
  </property>
</Properties>
</file>